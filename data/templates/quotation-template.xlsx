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cowaramupagencies.sharepoint.com/Shared Documents/Irrigation/1. Quotes/114693 LAWSON - TANK INASTALL/"/>
    </mc:Choice>
  </mc:AlternateContent>
  <xr:revisionPtr revIDLastSave="2" documentId="6_{74ED1AC2-BA90-45F7-B8CA-D29185B10225}" xr6:coauthVersionLast="47" xr6:coauthVersionMax="47" xr10:uidLastSave="{D617B16E-241A-44B3-B727-6AAC13C262F0}"/>
  <bookViews>
    <workbookView xWindow="-120" yWindow="-120" windowWidth="20730" windowHeight="11040" activeTab="1" xr2:uid="{00000000-000D-0000-FFFF-FFFF00000000}"/>
  </bookViews>
  <sheets>
    <sheet name="Job BOM" sheetId="4" r:id="rId1"/>
    <sheet name="Quotation" sheetId="11" r:id="rId2"/>
  </sheets>
  <definedNames>
    <definedName name="_xlnm._FilterDatabase" localSheetId="0" hidden="1">'Job BOM'!$A$5:$L$27</definedName>
    <definedName name="DESCRIPTION_1">#REF!</definedName>
    <definedName name="Flanges">#REF!</definedName>
    <definedName name="ID">#REF!</definedName>
    <definedName name="POWER_FUEL_SOURCE">#REF!</definedName>
    <definedName name="PowerOrFuelSource">#REF!</definedName>
    <definedName name="_xlnm.Print_Area" localSheetId="1">Quotation!$A$1:$L$132</definedName>
    <definedName name="SUB_ASSY">#REF!</definedName>
    <definedName name="Valves">#REF!</definedName>
    <definedName name="WATER_SOURCE">#REF!</definedName>
    <definedName name="WaterSource">#REF!</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8" i="11" l="1"/>
  <c r="K98" i="11" s="1"/>
  <c r="I94" i="11"/>
  <c r="I90" i="11"/>
  <c r="I97" i="11"/>
  <c r="I96" i="11"/>
  <c r="I93" i="11"/>
  <c r="K93" i="11" s="1"/>
  <c r="I92" i="11"/>
  <c r="K92" i="11" s="1"/>
  <c r="I89" i="11"/>
  <c r="I88" i="11"/>
  <c r="K97" i="11"/>
  <c r="K96" i="11"/>
  <c r="K89" i="11"/>
  <c r="K88" i="11"/>
  <c r="K94" i="11"/>
  <c r="K90" i="11"/>
  <c r="I100" i="11"/>
  <c r="L26" i="4"/>
  <c r="I26" i="4"/>
  <c r="L18" i="4"/>
  <c r="I18" i="4"/>
  <c r="L27" i="4"/>
  <c r="I27" i="4"/>
  <c r="L25" i="4"/>
  <c r="M25" i="4" s="1"/>
  <c r="N25" i="4" s="1"/>
  <c r="L24" i="4"/>
  <c r="I24" i="4"/>
  <c r="L23" i="4"/>
  <c r="I23" i="4"/>
  <c r="L22" i="4"/>
  <c r="I22" i="4"/>
  <c r="L19" i="4"/>
  <c r="I19" i="4"/>
  <c r="L17" i="4"/>
  <c r="M17" i="4" s="1"/>
  <c r="N17" i="4" s="1"/>
  <c r="L16" i="4"/>
  <c r="I16" i="4"/>
  <c r="L15" i="4"/>
  <c r="I15" i="4"/>
  <c r="L14" i="4"/>
  <c r="I14" i="4"/>
  <c r="L9" i="4"/>
  <c r="I9" i="4"/>
  <c r="K20" i="4"/>
  <c r="L20" i="4" s="1"/>
  <c r="I20" i="4"/>
  <c r="L12" i="4"/>
  <c r="I12" i="4"/>
  <c r="L11" i="4"/>
  <c r="I11" i="4"/>
  <c r="L10" i="4"/>
  <c r="L8" i="4"/>
  <c r="I8" i="4"/>
  <c r="L7" i="4"/>
  <c r="I7" i="4"/>
  <c r="M26" i="4" l="1"/>
  <c r="N26" i="4" s="1"/>
  <c r="M18" i="4"/>
  <c r="N18" i="4" s="1"/>
  <c r="M27" i="4"/>
  <c r="N27" i="4" s="1"/>
  <c r="M24" i="4"/>
  <c r="N24" i="4" s="1"/>
  <c r="M23" i="4"/>
  <c r="N23" i="4" s="1"/>
  <c r="M22" i="4"/>
  <c r="N22" i="4" s="1"/>
  <c r="M14" i="4"/>
  <c r="N14" i="4" s="1"/>
  <c r="M19" i="4"/>
  <c r="N19" i="4" s="1"/>
  <c r="M15" i="4"/>
  <c r="N15" i="4" s="1"/>
  <c r="M12" i="4"/>
  <c r="N12" i="4" s="1"/>
  <c r="M16" i="4"/>
  <c r="N16" i="4" s="1"/>
  <c r="M11" i="4"/>
  <c r="N11" i="4" s="1"/>
  <c r="M20" i="4"/>
  <c r="N20" i="4" s="1"/>
  <c r="M9" i="4"/>
  <c r="N9" i="4" s="1"/>
  <c r="M7" i="4"/>
  <c r="N7" i="4" s="1"/>
  <c r="M8" i="4"/>
  <c r="N8" i="4" s="1"/>
  <c r="M10" i="4"/>
  <c r="N10" i="4" s="1"/>
  <c r="K100" i="11"/>
</calcChain>
</file>

<file path=xl/sharedStrings.xml><?xml version="1.0" encoding="utf-8"?>
<sst xmlns="http://schemas.openxmlformats.org/spreadsheetml/2006/main" count="107" uniqueCount="95">
  <si>
    <t>QTY</t>
  </si>
  <si>
    <t>SUPPLIER</t>
  </si>
  <si>
    <t>SUB-ASSY</t>
  </si>
  <si>
    <t>COST EA</t>
  </si>
  <si>
    <t>SELL EA</t>
  </si>
  <si>
    <t>COST TOTAL</t>
  </si>
  <si>
    <t>SELL TOTAL</t>
  </si>
  <si>
    <t>EX-GST</t>
  </si>
  <si>
    <t xml:space="preserve">DESCRIPTION </t>
  </si>
  <si>
    <t>Notes</t>
  </si>
  <si>
    <t>Lot 33, Bussell Hwy, Cowaramup. WA 6284</t>
  </si>
  <si>
    <t>Quoted Price</t>
  </si>
  <si>
    <t>DATE</t>
  </si>
  <si>
    <t>CC</t>
  </si>
  <si>
    <t>CUSTOMER ID</t>
  </si>
  <si>
    <t>CUSTOMER NAME</t>
  </si>
  <si>
    <t>SUPPLIER PT NO</t>
  </si>
  <si>
    <t>COWAG PT NO</t>
  </si>
  <si>
    <t>MARK-UP
%</t>
  </si>
  <si>
    <t>Local Knowledge 50 Years and counting..</t>
  </si>
  <si>
    <t>Regards,</t>
  </si>
  <si>
    <t>Customer Details</t>
  </si>
  <si>
    <t>Delivery Details</t>
  </si>
  <si>
    <t>Name</t>
  </si>
  <si>
    <t>Address</t>
  </si>
  <si>
    <t>Phone</t>
  </si>
  <si>
    <t>Mobile</t>
  </si>
  <si>
    <t>Email</t>
  </si>
  <si>
    <t>Start Date</t>
  </si>
  <si>
    <t>Scope of Works and Supply</t>
  </si>
  <si>
    <t>Pricing and Payment Terms</t>
  </si>
  <si>
    <t>Ex-GST</t>
  </si>
  <si>
    <t>Prices quoted are CONFIDENTIAL and are not to be distributed to any third party.</t>
  </si>
  <si>
    <t>Quoted prices are valid on acceptance of full quote only.</t>
  </si>
  <si>
    <t>This quote is for estimation purposes only and may be subject to change without notice.</t>
  </si>
  <si>
    <t>Additional Charges for most common issues</t>
  </si>
  <si>
    <t xml:space="preserve">Cowaramup Agencies supply to various local industries, including Vineyards, Wineries, Dairies, Commercial Farms and Resorts/Hotels.  As an Independent Agribusiness, Cowaramup Agencies have a unique capacity to service the local area with supply and services ranging from Agronomy to Fencing and Trellising Products to Viticulture and Winery.  
Cowaramup Agencies have a wide range products including Crop Protection and Pest Control, Fertiliser/s, Seed and Animal Health.  Cowaramup Agencies also have a dedicated Water Division with a high quality installer of customised Iron Filtration Systems plus Irrigation Systems specialising in Electrofusion and Poly Weld applications; standard PVC pipe, poly pipe, fittings, sprinklers, cables, pumps, as well as many other products that will help you to meet all your installation and maintenance requirements. </t>
  </si>
  <si>
    <t>On Behalf of Cowaramup Agencies</t>
  </si>
  <si>
    <t>Please refer to our Terms and Conditions of Sale</t>
  </si>
  <si>
    <t>Total Inc-GST</t>
  </si>
  <si>
    <t>MARGIN $</t>
  </si>
  <si>
    <t>MARGIN %</t>
  </si>
  <si>
    <t>QUOTE REF</t>
  </si>
  <si>
    <t>WATER SUPPLY &amp; APPLICATION QUOTATION</t>
  </si>
  <si>
    <t>Thank you for your interest in Cowaramup Agencies and allowing me to quote on your proposed works.
In the following pages, I have detailed the Scope of Works and Supply that I am quoting you.  This detail shows inclusions specific site location detail, applicable specifications and details of the materials that will be supplied to complete your job.
I will contact you to discuss this quote further and answer any questions you may have.  I also invite you to contact the Cowaramup Agencies office should you have any queries or wish to adjust the requested supply, work or specifications.
To confirm the following quotation, revise or proceed with any works, please contact myself or the Cowaramup Agencies office within the valid quotation period as noted enclosed.</t>
  </si>
  <si>
    <r>
      <rPr>
        <u/>
        <sz val="14"/>
        <rFont val="Ebrima"/>
      </rPr>
      <t xml:space="preserve">
Proposal: 
</t>
    </r>
    <r>
      <rPr>
        <sz val="14"/>
        <rFont val="Ebrima"/>
      </rPr>
      <t xml:space="preserve">
</t>
    </r>
    <r>
      <rPr>
        <u/>
        <sz val="14"/>
        <rFont val="Ebrima"/>
      </rPr>
      <t xml:space="preserve">
</t>
    </r>
  </si>
  <si>
    <r>
      <t xml:space="preserve">
</t>
    </r>
    <r>
      <rPr>
        <b/>
        <sz val="12"/>
        <color theme="1"/>
        <rFont val="Ebrima"/>
      </rPr>
      <t xml:space="preserve">HARD DIGGINGS: </t>
    </r>
    <r>
      <rPr>
        <sz val="12"/>
        <color theme="1"/>
        <rFont val="Ebrima"/>
      </rPr>
      <t xml:space="preserve">
If, when excavating the site, the company discovers any obstacles or hard diggings that require the hire of machinery or extra labour, such as jack hammering, or rock breaking etc., the customer will pay these extra costs in addition to the Agreement price.
</t>
    </r>
  </si>
  <si>
    <r>
      <t xml:space="preserve">
</t>
    </r>
    <r>
      <rPr>
        <b/>
        <sz val="12"/>
        <color theme="1"/>
        <rFont val="Ebrima"/>
      </rPr>
      <t xml:space="preserve">APPROVAL FEES: </t>
    </r>
    <r>
      <rPr>
        <sz val="12"/>
        <color theme="1"/>
        <rFont val="Ebrima"/>
      </rPr>
      <t xml:space="preserve">
If approval for any building can only be obtained with amendments or additional information, thus incurring additional costs as required by the local council or certifier, the customer will pay all the extra costs associated.</t>
    </r>
  </si>
  <si>
    <r>
      <rPr>
        <b/>
        <sz val="12"/>
        <color theme="1"/>
        <rFont val="Ebrima"/>
      </rPr>
      <t xml:space="preserve">HIDDEN OBSTRUCTIONS: </t>
    </r>
    <r>
      <rPr>
        <sz val="12"/>
        <color theme="1"/>
        <rFont val="Ebrima"/>
      </rPr>
      <t xml:space="preserve">
If, during construction, services are damaged requiring repair such as Telstra, Electrical, Storm water etc., the customer will pay the costs associated with the repair in addition to the Agreement price.  It is the customer's responsibility to advise the company of the existence of any such obstructions and to arrange (and pay any associated costs) for the location of same.</t>
    </r>
  </si>
  <si>
    <r>
      <rPr>
        <b/>
        <sz val="12"/>
        <color theme="1"/>
        <rFont val="Ebrima"/>
      </rPr>
      <t xml:space="preserve">SITE CLEAN UP: </t>
    </r>
    <r>
      <rPr>
        <sz val="12"/>
        <color theme="1"/>
        <rFont val="Ebrima"/>
      </rPr>
      <t xml:space="preserve">
If the customer requires the company to remove the packaging or left over materials and any soil/rubbish associated with the works, from the site, unless noted otherwise in the Agreement the customer will pay these costs including labour and dump fees in addition to the Agreement price.</t>
    </r>
  </si>
  <si>
    <r>
      <rPr>
        <b/>
        <sz val="12"/>
        <color theme="1"/>
        <rFont val="Ebrima"/>
      </rPr>
      <t>DELAY IN DELIVERY:</t>
    </r>
    <r>
      <rPr>
        <sz val="12"/>
        <color theme="1"/>
        <rFont val="Ebrima"/>
      </rPr>
      <t xml:space="preserve">
If the company considers that it is likely that it will not keep to the agreed delivery date, it shall without delay notify the customer of this and also state the reasons for the delay and the time at which it is estimated that the delivery can be made.
</t>
    </r>
  </si>
  <si>
    <r>
      <rPr>
        <b/>
        <sz val="12"/>
        <color theme="1"/>
        <rFont val="Ebrima"/>
      </rPr>
      <t xml:space="preserve">PERMITS/LICENCES:  </t>
    </r>
    <r>
      <rPr>
        <sz val="12"/>
        <color theme="1"/>
        <rFont val="Ebrima"/>
      </rPr>
      <t xml:space="preserve">
If any part or part of the property pertinent to the quote requires building permits, or licences and permits of any kind, they are to be arranged by the customer at their expense.  
</t>
    </r>
  </si>
  <si>
    <t xml:space="preserve">Simon Earl </t>
  </si>
  <si>
    <t>0422 497343</t>
  </si>
  <si>
    <t>Order Confirmation Deposit 50%</t>
  </si>
  <si>
    <r>
      <rPr>
        <b/>
        <u/>
        <sz val="14"/>
        <color theme="1"/>
        <rFont val="Ebrima"/>
      </rPr>
      <t>Please note:</t>
    </r>
    <r>
      <rPr>
        <sz val="14"/>
        <color theme="1"/>
        <rFont val="Ebrima"/>
      </rPr>
      <t xml:space="preserve">
While all due care and consideration has been taken to ensure estimation accuracy, due to the nature of the services provided there may be variations to final costs incurred.  We will endeavour to limit any variations and keep you up to date on any changes as they occur.</t>
    </r>
  </si>
  <si>
    <r>
      <t xml:space="preserve">Quotation is valid for </t>
    </r>
    <r>
      <rPr>
        <b/>
        <sz val="14"/>
        <color theme="1"/>
        <rFont val="Ebrima"/>
      </rPr>
      <t>14 days</t>
    </r>
    <r>
      <rPr>
        <sz val="14"/>
        <color theme="1"/>
        <rFont val="Ebrima"/>
      </rPr>
      <t xml:space="preserve"> from date of issue.  </t>
    </r>
  </si>
  <si>
    <t>Balance  due on completion of work</t>
  </si>
  <si>
    <r>
      <t xml:space="preserve">
</t>
    </r>
    <r>
      <rPr>
        <b/>
        <sz val="12"/>
        <color theme="1"/>
        <rFont val="Ebrima"/>
      </rPr>
      <t>WARRANTY:</t>
    </r>
    <r>
      <rPr>
        <sz val="12"/>
        <color theme="1"/>
        <rFont val="Ebrima"/>
      </rPr>
      <t xml:space="preserve">
Any warranty on faulty materials is fully dependent on suppliers' warranty to us.  Generally, no warranty on labour is applicable.  All travel and labour to repair will be done at client's cost unless otherwise specified.</t>
    </r>
  </si>
  <si>
    <t>RT60 - OPTION 1</t>
  </si>
  <si>
    <t>RT60 - ZINCALUME</t>
  </si>
  <si>
    <t>RT60 - COLORBOND</t>
  </si>
  <si>
    <t>VERMIN / FIRE OUTLET / LEVEL GUAGE</t>
  </si>
  <si>
    <t>WATER DELIVERY</t>
  </si>
  <si>
    <t>BLUEMETAL + DELIVERY ONLY</t>
  </si>
  <si>
    <t>DELIVERY</t>
  </si>
  <si>
    <t>FREE</t>
  </si>
  <si>
    <t>RT100 - OPTION 2</t>
  </si>
  <si>
    <t>RT160 - OPTION 3</t>
  </si>
  <si>
    <t>RT160 - ZINCALUME</t>
  </si>
  <si>
    <t>RT160 - COLORBOND</t>
  </si>
  <si>
    <t>RT100 - ZINCALUME</t>
  </si>
  <si>
    <t>RT100 - COLORBOND</t>
  </si>
  <si>
    <t>899 Metricup Road</t>
  </si>
  <si>
    <t>Wilyabrup</t>
  </si>
  <si>
    <t>TBC</t>
  </si>
  <si>
    <t>lawson.build@gmail.com</t>
  </si>
  <si>
    <t>Craig Lawson</t>
  </si>
  <si>
    <t>0420940607</t>
  </si>
  <si>
    <t xml:space="preserve">Water Cartage </t>
  </si>
  <si>
    <t>RT60 - Zincalume</t>
  </si>
  <si>
    <t>RT60 - Colorbond</t>
  </si>
  <si>
    <t>Bluemetal &amp; Delivery only</t>
  </si>
  <si>
    <t>RT100 - Zincalume</t>
  </si>
  <si>
    <t>RT100 - Colorbond</t>
  </si>
  <si>
    <t>RT160 - Zincalume</t>
  </si>
  <si>
    <t>RT160 - Colorbond</t>
  </si>
  <si>
    <t>Option 1 - RT60</t>
  </si>
  <si>
    <t>Option 2 - RT100</t>
  </si>
  <si>
    <t>Option 3 - RT160</t>
  </si>
  <si>
    <t>Water Cartage for all tanks</t>
  </si>
  <si>
    <r>
      <rPr>
        <b/>
        <u/>
        <sz val="14"/>
        <rFont val="Ebrima"/>
      </rPr>
      <t>Supply &amp; Installation of Kingspan Steel Water Tank</t>
    </r>
    <r>
      <rPr>
        <sz val="14"/>
        <rFont val="Ebrima"/>
      </rPr>
      <t xml:space="preserve">
- Supply and installation of a selected Kingspan Steel Water Tank.
- Tank supplied complete with </t>
    </r>
    <r>
      <rPr>
        <b/>
        <i/>
        <sz val="14"/>
        <rFont val="Ebrima"/>
      </rPr>
      <t>FREE</t>
    </r>
    <r>
      <rPr>
        <sz val="14"/>
        <rFont val="Ebrima"/>
      </rPr>
      <t xml:space="preserve"> vermin-proofing,  water level gauge and 50mm fire-fighting outlet.
- Supply only of blue metal to be placed around the base of the tank following installation.
- Supply and delivery of 12kL of water on the day of installation to assist in holding the tank liner in position during the initial filling process.
</t>
    </r>
    <r>
      <rPr>
        <b/>
        <i/>
        <u/>
        <sz val="14"/>
        <rFont val="Ebrima"/>
      </rPr>
      <t>Exclusions</t>
    </r>
    <r>
      <rPr>
        <sz val="14"/>
        <rFont val="Ebrima"/>
      </rPr>
      <t xml:space="preserve">
The following items are not included in this quotation:
- Supply or installation of a sand pad. (A separate quotation can be provided upon request.)
- Plumbing connections into or out of the water tank.
- Supply and installation of pumps, UV filtration systems, or associated plumbing. 
(Separate quotations can be provided if required.)</t>
    </r>
  </si>
  <si>
    <t>Estimate #114693</t>
  </si>
  <si>
    <t>10th August 2026</t>
  </si>
  <si>
    <t>Dear Craig,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</si>
</sst>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_-[$$-C09]* #,##0.00_-;\-[$$-C09]* #,##0.00_-;_-[$$-C09]* &quot;-&quot;??_-;_-@_-"/>
  </numFmts>
  <fonts count="22" x14ac:knownFonts="1">
    <font>
      <sz val="11"/>
      <color theme="1"/>
      <name val="Calibri"/>
      <family val="2"/>
      <scheme val="minor"/>
    </font>
    <font>
      <sz val="11"/>
      <color theme="1"/>
      <name val="Ebrima"/>
    </font>
    <font>
      <u/>
      <sz val="11"/>
      <color theme="10"/>
      <name val="Calibri"/>
      <family val="2"/>
      <scheme val="minor"/>
    </font>
    <font>
      <b/>
      <sz val="11"/>
      <color theme="1"/>
      <name val="Ebrima"/>
    </font>
    <font>
      <b/>
      <i/>
      <sz val="11"/>
      <color theme="1"/>
      <name val="Ebrima"/>
    </font>
    <font>
      <sz val="14"/>
      <color theme="1"/>
      <name val="Ebrima"/>
    </font>
    <font>
      <sz val="11"/>
      <color theme="1"/>
      <name val="Calibri"/>
      <family val="2"/>
      <scheme val="minor"/>
    </font>
    <font>
      <sz val="10"/>
      <color rgb="FF000000"/>
      <name val="Arial"/>
      <family val="2"/>
    </font>
    <font>
      <b/>
      <sz val="14"/>
      <name val="Ebrima"/>
    </font>
    <font>
      <sz val="14"/>
      <name val="Ebrima"/>
    </font>
    <font>
      <i/>
      <sz val="14"/>
      <color theme="1"/>
      <name val="Ebrima"/>
    </font>
    <font>
      <i/>
      <sz val="10"/>
      <name val="Ebrima"/>
    </font>
    <font>
      <i/>
      <sz val="14"/>
      <name val="Ebrima"/>
    </font>
    <font>
      <b/>
      <sz val="14"/>
      <color theme="1"/>
      <name val="Ebrima"/>
    </font>
    <font>
      <b/>
      <sz val="12"/>
      <color theme="1"/>
      <name val="Ebrima"/>
    </font>
    <font>
      <u/>
      <sz val="14"/>
      <name val="Ebrima"/>
    </font>
    <font>
      <sz val="12"/>
      <color theme="1"/>
      <name val="Ebrima"/>
    </font>
    <font>
      <b/>
      <u/>
      <sz val="14"/>
      <color theme="1"/>
      <name val="Ebrima"/>
    </font>
    <font>
      <b/>
      <u/>
      <sz val="14"/>
      <name val="Ebrima"/>
    </font>
    <font>
      <b/>
      <i/>
      <u/>
      <sz val="14"/>
      <name val="Ebrima"/>
    </font>
    <font>
      <b/>
      <i/>
      <sz val="14"/>
      <name val="Ebrima"/>
    </font>
    <font>
      <sz val="11"/>
      <color theme="0"/>
      <name val="Ebrima"/>
    </font>
  </fonts>
  <fills count="8">
    <fill>
      <patternFill patternType="none"/>
    </fill>
    <fill>
      <patternFill patternType="gray125"/>
    </fill>
    <fill>
      <patternFill patternType="solid">
        <fgColor theme="2"/>
        <bgColor indexed="64"/>
      </patternFill>
    </fill>
    <fill>
      <patternFill patternType="solid">
        <fgColor theme="1"/>
        <bgColor indexed="64"/>
      </patternFill>
    </fill>
    <fill>
      <patternFill patternType="solid">
        <fgColor rgb="FF00CC99"/>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50"/>
        <bgColor indexed="64"/>
      </patternFill>
    </fill>
  </fills>
  <borders count="10">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6">
    <xf numFmtId="0" fontId="0" fillId="0" borderId="0"/>
    <xf numFmtId="0" fontId="2" fillId="0" borderId="0" applyNumberForma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7" fillId="0" borderId="0"/>
    <xf numFmtId="44" fontId="7" fillId="0" borderId="0" applyFont="0" applyFill="0" applyBorder="0" applyAlignment="0" applyProtection="0"/>
  </cellStyleXfs>
  <cellXfs count="91">
    <xf numFmtId="0" fontId="0" fillId="0" borderId="0" xfId="0"/>
    <xf numFmtId="0" fontId="1" fillId="0" borderId="0" xfId="0" applyFont="1" applyAlignment="1">
      <alignment horizontal="left" vertical="center" wrapText="1"/>
    </xf>
    <xf numFmtId="0" fontId="5" fillId="0" borderId="0" xfId="0" applyFont="1" applyAlignment="1">
      <alignment vertical="center"/>
    </xf>
    <xf numFmtId="44" fontId="1" fillId="0" borderId="0" xfId="3" applyFont="1" applyAlignment="1">
      <alignment horizontal="left" vertical="center" wrapText="1"/>
    </xf>
    <xf numFmtId="0" fontId="1" fillId="0" borderId="0" xfId="0" applyFont="1" applyAlignment="1">
      <alignment horizontal="right" vertical="center" wrapText="1"/>
    </xf>
    <xf numFmtId="0" fontId="1" fillId="0" borderId="0" xfId="0" applyFont="1" applyAlignment="1">
      <alignment horizontal="center" vertical="center" wrapText="1"/>
    </xf>
    <xf numFmtId="0" fontId="3" fillId="4" borderId="1" xfId="0" applyFont="1" applyFill="1" applyBorder="1" applyAlignment="1">
      <alignment horizontal="center" vertical="center" wrapText="1"/>
    </xf>
    <xf numFmtId="44" fontId="3" fillId="0" borderId="6" xfId="3" applyFont="1" applyBorder="1" applyAlignment="1">
      <alignment horizontal="center" vertical="center" wrapText="1"/>
    </xf>
    <xf numFmtId="0" fontId="3" fillId="0" borderId="6" xfId="0" applyFont="1" applyBorder="1" applyAlignment="1">
      <alignment horizontal="center" vertical="center" wrapText="1"/>
    </xf>
    <xf numFmtId="44" fontId="1" fillId="0" borderId="6" xfId="3" applyFont="1" applyFill="1" applyBorder="1" applyAlignment="1">
      <alignment horizontal="left" vertical="center" wrapText="1"/>
    </xf>
    <xf numFmtId="10" fontId="1" fillId="0" borderId="6" xfId="2" applyNumberFormat="1" applyFont="1" applyFill="1" applyBorder="1" applyAlignment="1">
      <alignment horizontal="right" vertical="center" wrapText="1"/>
    </xf>
    <xf numFmtId="0" fontId="1" fillId="0" borderId="6" xfId="0" applyFont="1" applyBorder="1" applyAlignment="1">
      <alignment horizontal="left" vertical="center" wrapText="1"/>
    </xf>
    <xf numFmtId="0" fontId="1" fillId="0" borderId="3" xfId="0" applyFont="1" applyBorder="1" applyAlignment="1">
      <alignment horizontal="left" vertical="center" wrapText="1"/>
    </xf>
    <xf numFmtId="0" fontId="1" fillId="0" borderId="2" xfId="0" applyFont="1" applyBorder="1" applyAlignment="1">
      <alignment horizontal="left" vertical="center" wrapText="1"/>
    </xf>
    <xf numFmtId="0" fontId="3" fillId="4" borderId="5" xfId="0" applyFont="1" applyFill="1" applyBorder="1" applyAlignment="1">
      <alignment horizontal="center" vertical="center" wrapText="1"/>
    </xf>
    <xf numFmtId="0" fontId="1" fillId="5" borderId="8" xfId="0" applyFont="1" applyFill="1" applyBorder="1" applyAlignment="1">
      <alignment horizontal="left" vertical="center" wrapText="1"/>
    </xf>
    <xf numFmtId="0" fontId="1" fillId="5" borderId="9" xfId="0" applyFont="1" applyFill="1" applyBorder="1" applyAlignment="1">
      <alignment horizontal="left" vertical="center" wrapText="1"/>
    </xf>
    <xf numFmtId="44" fontId="3" fillId="4" borderId="5" xfId="3" applyFont="1" applyFill="1" applyBorder="1" applyAlignment="1">
      <alignment horizontal="center" vertical="center" wrapText="1"/>
    </xf>
    <xf numFmtId="44" fontId="3" fillId="4" borderId="7" xfId="3" applyFont="1" applyFill="1" applyBorder="1" applyAlignment="1">
      <alignment horizontal="center" vertical="center" wrapText="1"/>
    </xf>
    <xf numFmtId="0" fontId="3" fillId="0" borderId="0" xfId="0" applyFont="1" applyAlignment="1">
      <alignment horizontal="right" vertical="center" wrapText="1"/>
    </xf>
    <xf numFmtId="44" fontId="1" fillId="5" borderId="8" xfId="3" applyFont="1" applyFill="1" applyBorder="1" applyAlignment="1">
      <alignment horizontal="left" vertical="center" wrapText="1"/>
    </xf>
    <xf numFmtId="44" fontId="1" fillId="5" borderId="9" xfId="3" applyFont="1" applyFill="1" applyBorder="1" applyAlignment="1">
      <alignment horizontal="left" vertical="center" wrapText="1"/>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center" vertical="center"/>
    </xf>
    <xf numFmtId="0" fontId="5" fillId="0" borderId="0" xfId="0" applyFont="1" applyAlignment="1">
      <alignment horizontal="right" vertical="center"/>
    </xf>
    <xf numFmtId="0" fontId="12" fillId="0" borderId="0" xfId="0" applyFont="1" applyAlignment="1">
      <alignment horizontal="left" vertical="top" wrapText="1"/>
    </xf>
    <xf numFmtId="0" fontId="9" fillId="0" borderId="0" xfId="0"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13" fillId="0" borderId="0" xfId="0" applyFont="1" applyAlignment="1">
      <alignment horizontal="left" vertical="center"/>
    </xf>
    <xf numFmtId="0" fontId="13" fillId="0" borderId="0" xfId="0" applyFont="1" applyAlignment="1">
      <alignment vertical="center"/>
    </xf>
    <xf numFmtId="0" fontId="14" fillId="0" borderId="0" xfId="0" applyFont="1" applyAlignment="1">
      <alignment vertical="center"/>
    </xf>
    <xf numFmtId="0" fontId="9" fillId="0" borderId="0" xfId="1" applyFont="1" applyFill="1" applyBorder="1" applyAlignment="1">
      <alignment horizontal="right" vertical="center"/>
    </xf>
    <xf numFmtId="0" fontId="9" fillId="0" borderId="0" xfId="0" applyFont="1" applyAlignment="1">
      <alignment vertical="top" wrapText="1"/>
    </xf>
    <xf numFmtId="0" fontId="13" fillId="0" borderId="0" xfId="0" applyFont="1" applyAlignment="1">
      <alignment horizontal="center" vertical="center"/>
    </xf>
    <xf numFmtId="164" fontId="13" fillId="0" borderId="0" xfId="0" applyNumberFormat="1" applyFont="1" applyAlignment="1">
      <alignment vertical="center"/>
    </xf>
    <xf numFmtId="164" fontId="13" fillId="0" borderId="0" xfId="0" applyNumberFormat="1" applyFont="1" applyAlignment="1">
      <alignment horizontal="right" vertical="center"/>
    </xf>
    <xf numFmtId="164" fontId="5" fillId="0" borderId="0" xfId="0" applyNumberFormat="1" applyFont="1" applyAlignment="1">
      <alignment horizontal="center" vertical="center"/>
    </xf>
    <xf numFmtId="164" fontId="5" fillId="0" borderId="0" xfId="0" applyNumberFormat="1" applyFont="1" applyAlignment="1">
      <alignment vertical="center"/>
    </xf>
    <xf numFmtId="0" fontId="5" fillId="0" borderId="0" xfId="0" applyFont="1" applyAlignment="1">
      <alignment horizontal="center" vertical="center" wrapText="1"/>
    </xf>
    <xf numFmtId="0" fontId="16" fillId="0" borderId="0" xfId="0" applyFont="1" applyAlignment="1">
      <alignment vertical="top" wrapText="1"/>
    </xf>
    <xf numFmtId="0" fontId="16" fillId="0" borderId="0" xfId="0" applyFont="1" applyAlignment="1">
      <alignment vertical="center"/>
    </xf>
    <xf numFmtId="0" fontId="8" fillId="0" borderId="0" xfId="0" applyFont="1" applyAlignment="1">
      <alignment horizontal="center" vertical="top" wrapText="1"/>
    </xf>
    <xf numFmtId="14" fontId="9" fillId="0" borderId="0" xfId="0" applyNumberFormat="1" applyFont="1" applyAlignment="1">
      <alignment vertical="center"/>
    </xf>
    <xf numFmtId="0" fontId="1" fillId="0" borderId="4" xfId="0" applyFont="1" applyBorder="1" applyAlignment="1">
      <alignment horizontal="center" vertical="center" wrapText="1"/>
    </xf>
    <xf numFmtId="0" fontId="8" fillId="0" borderId="0" xfId="0" applyFont="1" applyAlignment="1">
      <alignment horizontal="left" vertical="top" wrapText="1"/>
    </xf>
    <xf numFmtId="0" fontId="1" fillId="6" borderId="8" xfId="0" applyFont="1" applyFill="1" applyBorder="1" applyAlignment="1">
      <alignment horizontal="left" vertical="center" wrapText="1"/>
    </xf>
    <xf numFmtId="0" fontId="5" fillId="7" borderId="0" xfId="0" applyFont="1" applyFill="1" applyAlignment="1">
      <alignment vertical="center"/>
    </xf>
    <xf numFmtId="0" fontId="13" fillId="7" borderId="0" xfId="0" applyFont="1" applyFill="1" applyAlignment="1">
      <alignment vertical="center"/>
    </xf>
    <xf numFmtId="0" fontId="21" fillId="3" borderId="8" xfId="0" applyFont="1" applyFill="1" applyBorder="1" applyAlignment="1">
      <alignment horizontal="left" vertical="center" wrapText="1"/>
    </xf>
    <xf numFmtId="0" fontId="21" fillId="3" borderId="9" xfId="0" applyFont="1" applyFill="1" applyBorder="1" applyAlignment="1">
      <alignment horizontal="left" vertical="center" wrapText="1"/>
    </xf>
    <xf numFmtId="0" fontId="21" fillId="3" borderId="2" xfId="0" applyFont="1" applyFill="1" applyBorder="1" applyAlignment="1">
      <alignment horizontal="left" vertical="center" wrapText="1"/>
    </xf>
    <xf numFmtId="0" fontId="21" fillId="3" borderId="3" xfId="0" applyFont="1" applyFill="1" applyBorder="1" applyAlignment="1">
      <alignment horizontal="left" vertical="center" wrapText="1"/>
    </xf>
    <xf numFmtId="0" fontId="21" fillId="3" borderId="4" xfId="0" applyFont="1" applyFill="1" applyBorder="1" applyAlignment="1">
      <alignment horizontal="center" vertical="center" wrapText="1"/>
    </xf>
    <xf numFmtId="44" fontId="21" fillId="3" borderId="8" xfId="3" applyFont="1" applyFill="1" applyBorder="1" applyAlignment="1">
      <alignment horizontal="left" vertical="center" wrapText="1"/>
    </xf>
    <xf numFmtId="44" fontId="21" fillId="3" borderId="9" xfId="3" applyFont="1" applyFill="1" applyBorder="1" applyAlignment="1">
      <alignment horizontal="left" vertical="center" wrapText="1"/>
    </xf>
    <xf numFmtId="44" fontId="21" fillId="3" borderId="6" xfId="3" applyFont="1" applyFill="1" applyBorder="1" applyAlignment="1">
      <alignment horizontal="left" vertical="center" wrapText="1"/>
    </xf>
    <xf numFmtId="10" fontId="21" fillId="3" borderId="6" xfId="2" applyNumberFormat="1" applyFont="1" applyFill="1" applyBorder="1" applyAlignment="1">
      <alignment horizontal="right" vertical="center" wrapText="1"/>
    </xf>
    <xf numFmtId="44" fontId="1" fillId="0" borderId="6" xfId="0" applyNumberFormat="1" applyFont="1" applyBorder="1" applyAlignment="1">
      <alignment horizontal="left" vertical="center" wrapText="1"/>
    </xf>
    <xf numFmtId="0" fontId="16" fillId="0" borderId="0" xfId="0" applyFont="1" applyAlignment="1">
      <alignment vertical="top" wrapText="1"/>
    </xf>
    <xf numFmtId="0" fontId="13" fillId="0" borderId="0" xfId="0" applyFont="1" applyAlignment="1">
      <alignment horizontal="left" vertical="center"/>
    </xf>
    <xf numFmtId="0" fontId="14" fillId="0" borderId="0" xfId="0" applyFont="1" applyAlignment="1">
      <alignment horizontal="center" vertical="center"/>
    </xf>
    <xf numFmtId="0" fontId="17" fillId="0" borderId="0" xfId="0" applyFont="1" applyAlignment="1">
      <alignment horizontal="center" vertical="center"/>
    </xf>
    <xf numFmtId="0" fontId="5" fillId="0" borderId="0" xfId="0" applyFont="1" applyAlignment="1">
      <alignment horizontal="left" vertical="top" wrapText="1"/>
    </xf>
    <xf numFmtId="0" fontId="16"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center" vertical="center"/>
    </xf>
    <xf numFmtId="0" fontId="5" fillId="0" borderId="0" xfId="0" applyFont="1" applyAlignment="1">
      <alignment horizontal="left" vertical="center"/>
    </xf>
    <xf numFmtId="0" fontId="9" fillId="0" borderId="0" xfId="0" quotePrefix="1" applyFont="1" applyAlignment="1">
      <alignment horizontal="left" vertical="center"/>
    </xf>
    <xf numFmtId="0" fontId="9" fillId="0" borderId="0" xfId="0" applyFont="1" applyAlignment="1">
      <alignment horizontal="left" vertical="center"/>
    </xf>
    <xf numFmtId="0" fontId="2" fillId="0" borderId="0" xfId="1" applyFill="1"/>
    <xf numFmtId="0" fontId="5" fillId="0" borderId="0" xfId="0" applyFont="1"/>
    <xf numFmtId="0" fontId="11" fillId="0" borderId="0" xfId="0" applyFont="1" applyAlignment="1">
      <alignment horizontal="left" vertical="top" wrapText="1"/>
    </xf>
    <xf numFmtId="0" fontId="9" fillId="0" borderId="0" xfId="0" applyFont="1" applyAlignment="1">
      <alignment horizontal="left" vertical="top" wrapText="1"/>
    </xf>
    <xf numFmtId="0" fontId="8" fillId="0" borderId="0" xfId="0" applyFont="1" applyAlignment="1">
      <alignment horizontal="left" vertical="top" wrapText="1"/>
    </xf>
    <xf numFmtId="0" fontId="17" fillId="0" borderId="0" xfId="0" applyFont="1" applyAlignment="1">
      <alignment horizontal="left" vertical="center"/>
    </xf>
    <xf numFmtId="0" fontId="8" fillId="0" borderId="0" xfId="0" applyFont="1" applyAlignment="1">
      <alignment horizontal="left" vertical="center"/>
    </xf>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8" fillId="7" borderId="0" xfId="0" applyFont="1" applyFill="1" applyAlignment="1">
      <alignment horizontal="left"/>
    </xf>
    <xf numFmtId="165" fontId="9" fillId="7" borderId="0" xfId="0" applyNumberFormat="1" applyFont="1" applyFill="1" applyAlignment="1">
      <alignment horizontal="right" vertical="center"/>
    </xf>
    <xf numFmtId="0" fontId="9" fillId="2" borderId="0" xfId="0" applyFont="1" applyFill="1" applyAlignment="1">
      <alignment horizontal="left" vertical="center"/>
    </xf>
    <xf numFmtId="165" fontId="9" fillId="2" borderId="0" xfId="0" applyNumberFormat="1" applyFont="1" applyFill="1" applyAlignment="1">
      <alignment horizontal="right" vertical="center"/>
    </xf>
    <xf numFmtId="0" fontId="8" fillId="7" borderId="0" xfId="0" applyFont="1" applyFill="1" applyAlignment="1">
      <alignment horizontal="left"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center" vertical="center" wrapText="1"/>
    </xf>
    <xf numFmtId="0" fontId="3" fillId="4" borderId="0" xfId="0" applyFont="1" applyFill="1" applyAlignment="1">
      <alignment horizontal="left" vertical="center" wrapText="1"/>
    </xf>
    <xf numFmtId="0" fontId="3" fillId="5" borderId="0" xfId="0" applyFont="1" applyFill="1" applyAlignment="1">
      <alignment horizontal="center" vertical="center" wrapText="1"/>
    </xf>
    <xf numFmtId="14" fontId="3" fillId="5" borderId="0" xfId="0" applyNumberFormat="1" applyFont="1" applyFill="1" applyAlignment="1">
      <alignment horizontal="center" vertical="center" wrapText="1"/>
    </xf>
  </cellXfs>
  <cellStyles count="6">
    <cellStyle name="Currency" xfId="3" builtinId="4"/>
    <cellStyle name="Currency 2" xfId="5" xr:uid="{4D0437DF-02CC-4DFC-849D-486ED73E3B1D}"/>
    <cellStyle name="Hyperlink" xfId="1" builtinId="8"/>
    <cellStyle name="Normal" xfId="0" builtinId="0"/>
    <cellStyle name="Normal 2" xfId="4" xr:uid="{3A69D9E4-B2D3-4B0D-8572-B1A011E5752B}"/>
    <cellStyle name="Per cent" xfId="2" builtinId="5"/>
  </cellStyles>
  <dxfs count="0"/>
  <tableStyles count="0" defaultTableStyle="TableStyleMedium2" defaultPivotStyle="PivotStyleLight16"/>
  <colors>
    <mruColors>
      <color rgb="FF00CC99"/>
      <color rgb="FFFF9966"/>
      <color rgb="FFFF3300"/>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47627</xdr:colOff>
      <xdr:row>44</xdr:row>
      <xdr:rowOff>173005</xdr:rowOff>
    </xdr:from>
    <xdr:to>
      <xdr:col>3</xdr:col>
      <xdr:colOff>35720</xdr:colOff>
      <xdr:row>49</xdr:row>
      <xdr:rowOff>30287</xdr:rowOff>
    </xdr:to>
    <xdr:pic>
      <xdr:nvPicPr>
        <xdr:cNvPr id="5" name="Picture 4">
          <a:extLst>
            <a:ext uri="{FF2B5EF4-FFF2-40B4-BE49-F238E27FC236}">
              <a16:creationId xmlns:a16="http://schemas.microsoft.com/office/drawing/2014/main" id="{0B576C36-35EA-466F-A9EA-A36DBCA7A6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7" y="11650630"/>
          <a:ext cx="2238374" cy="1166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47627</xdr:rowOff>
    </xdr:from>
    <xdr:to>
      <xdr:col>1</xdr:col>
      <xdr:colOff>583406</xdr:colOff>
      <xdr:row>3</xdr:row>
      <xdr:rowOff>152680</xdr:rowOff>
    </xdr:to>
    <xdr:pic>
      <xdr:nvPicPr>
        <xdr:cNvPr id="6" name="image1_1">
          <a:extLst>
            <a:ext uri="{FF2B5EF4-FFF2-40B4-BE49-F238E27FC236}">
              <a16:creationId xmlns:a16="http://schemas.microsoft.com/office/drawing/2014/main" id="{91EDE97E-0313-4CD2-839D-B3FDDE1F99C3}"/>
            </a:ext>
          </a:extLst>
        </xdr:cNvPr>
        <xdr:cNvPicPr>
          <a:picLocks noChangeAspect="1"/>
        </xdr:cNvPicPr>
      </xdr:nvPicPr>
      <xdr:blipFill>
        <a:blip xmlns:r="http://schemas.openxmlformats.org/officeDocument/2006/relationships" r:embed="rId2"/>
        <a:srcRect l="-6543" r="-6543"/>
        <a:stretch>
          <a:fillRect/>
        </a:stretch>
      </xdr:blipFill>
      <xdr:spPr bwMode="auto">
        <a:xfrm>
          <a:off x="0" y="47627"/>
          <a:ext cx="1262062" cy="890866"/>
        </a:xfrm>
        <a:prstGeom prst="rect">
          <a:avLst/>
        </a:prstGeom>
      </xdr:spPr>
    </xdr:pic>
    <xdr:clientData/>
  </xdr:twoCellAnchor>
  <xdr:twoCellAnchor editAs="oneCell">
    <xdr:from>
      <xdr:col>6</xdr:col>
      <xdr:colOff>738188</xdr:colOff>
      <xdr:row>0</xdr:row>
      <xdr:rowOff>35720</xdr:rowOff>
    </xdr:from>
    <xdr:to>
      <xdr:col>11</xdr:col>
      <xdr:colOff>628461</xdr:colOff>
      <xdr:row>5</xdr:row>
      <xdr:rowOff>59068</xdr:rowOff>
    </xdr:to>
    <xdr:pic>
      <xdr:nvPicPr>
        <xdr:cNvPr id="8" name="Picture 7">
          <a:extLst>
            <a:ext uri="{FF2B5EF4-FFF2-40B4-BE49-F238E27FC236}">
              <a16:creationId xmlns:a16="http://schemas.microsoft.com/office/drawing/2014/main" id="{5C80D6E0-2267-4EFC-B4E4-865F112FAA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38688" y="35720"/>
          <a:ext cx="3378804" cy="1333036"/>
        </a:xfrm>
        <a:prstGeom prst="rect">
          <a:avLst/>
        </a:prstGeom>
      </xdr:spPr>
    </xdr:pic>
    <xdr:clientData/>
  </xdr:twoCellAnchor>
  <xdr:twoCellAnchor editAs="oneCell">
    <xdr:from>
      <xdr:col>7</xdr:col>
      <xdr:colOff>23812</xdr:colOff>
      <xdr:row>54</xdr:row>
      <xdr:rowOff>23807</xdr:rowOff>
    </xdr:from>
    <xdr:to>
      <xdr:col>11</xdr:col>
      <xdr:colOff>625611</xdr:colOff>
      <xdr:row>58</xdr:row>
      <xdr:rowOff>227192</xdr:rowOff>
    </xdr:to>
    <xdr:pic>
      <xdr:nvPicPr>
        <xdr:cNvPr id="9" name="Picture 8">
          <a:extLst>
            <a:ext uri="{FF2B5EF4-FFF2-40B4-BE49-F238E27FC236}">
              <a16:creationId xmlns:a16="http://schemas.microsoft.com/office/drawing/2014/main" id="{F1154A73-5527-4AFE-96ED-047F8485155B}"/>
            </a:ext>
          </a:extLst>
        </xdr:cNvPr>
        <xdr:cNvPicPr>
          <a:picLocks noChangeAspect="1"/>
        </xdr:cNvPicPr>
      </xdr:nvPicPr>
      <xdr:blipFill>
        <a:blip xmlns:r="http://schemas.openxmlformats.org/officeDocument/2006/relationships" r:embed="rId4"/>
        <a:stretch>
          <a:fillRect/>
        </a:stretch>
      </xdr:blipFill>
      <xdr:spPr>
        <a:xfrm>
          <a:off x="4798218" y="13858870"/>
          <a:ext cx="3306899" cy="1251135"/>
        </a:xfrm>
        <a:prstGeom prst="rect">
          <a:avLst/>
        </a:prstGeom>
      </xdr:spPr>
    </xdr:pic>
    <xdr:clientData/>
  </xdr:twoCellAnchor>
  <xdr:twoCellAnchor>
    <xdr:from>
      <xdr:col>0</xdr:col>
      <xdr:colOff>35718</xdr:colOff>
      <xdr:row>54</xdr:row>
      <xdr:rowOff>47630</xdr:rowOff>
    </xdr:from>
    <xdr:to>
      <xdr:col>1</xdr:col>
      <xdr:colOff>488156</xdr:colOff>
      <xdr:row>57</xdr:row>
      <xdr:rowOff>60236</xdr:rowOff>
    </xdr:to>
    <xdr:pic>
      <xdr:nvPicPr>
        <xdr:cNvPr id="10" name="image1_1">
          <a:extLst>
            <a:ext uri="{FF2B5EF4-FFF2-40B4-BE49-F238E27FC236}">
              <a16:creationId xmlns:a16="http://schemas.microsoft.com/office/drawing/2014/main" id="{85FB3697-A11C-40DD-A9BD-CF2AFD76E476}"/>
            </a:ext>
          </a:extLst>
        </xdr:cNvPr>
        <xdr:cNvPicPr>
          <a:picLocks noChangeAspect="1"/>
        </xdr:cNvPicPr>
      </xdr:nvPicPr>
      <xdr:blipFill>
        <a:blip xmlns:r="http://schemas.openxmlformats.org/officeDocument/2006/relationships" r:embed="rId2"/>
        <a:srcRect l="-6543" r="-6543"/>
        <a:stretch>
          <a:fillRect/>
        </a:stretch>
      </xdr:blipFill>
      <xdr:spPr bwMode="auto">
        <a:xfrm>
          <a:off x="35718" y="13882693"/>
          <a:ext cx="1131094" cy="798418"/>
        </a:xfrm>
        <a:prstGeom prst="rect">
          <a:avLst/>
        </a:prstGeom>
      </xdr:spPr>
    </xdr:pic>
    <xdr:clientData/>
  </xdr:twoCellAnchor>
  <xdr:twoCellAnchor>
    <xdr:from>
      <xdr:col>0</xdr:col>
      <xdr:colOff>35718</xdr:colOff>
      <xdr:row>102</xdr:row>
      <xdr:rowOff>35719</xdr:rowOff>
    </xdr:from>
    <xdr:to>
      <xdr:col>1</xdr:col>
      <xdr:colOff>537766</xdr:colOff>
      <xdr:row>105</xdr:row>
      <xdr:rowOff>83344</xdr:rowOff>
    </xdr:to>
    <xdr:pic>
      <xdr:nvPicPr>
        <xdr:cNvPr id="11" name="image1_1">
          <a:extLst>
            <a:ext uri="{FF2B5EF4-FFF2-40B4-BE49-F238E27FC236}">
              <a16:creationId xmlns:a16="http://schemas.microsoft.com/office/drawing/2014/main" id="{9B24BB7F-FC35-43AF-996D-9BE6FA5A9391}"/>
            </a:ext>
          </a:extLst>
        </xdr:cNvPr>
        <xdr:cNvPicPr>
          <a:picLocks noChangeAspect="1"/>
        </xdr:cNvPicPr>
      </xdr:nvPicPr>
      <xdr:blipFill>
        <a:blip xmlns:r="http://schemas.openxmlformats.org/officeDocument/2006/relationships" r:embed="rId2"/>
        <a:srcRect l="-6543" r="-6543"/>
        <a:stretch>
          <a:fillRect/>
        </a:stretch>
      </xdr:blipFill>
      <xdr:spPr bwMode="auto">
        <a:xfrm>
          <a:off x="35718" y="28003500"/>
          <a:ext cx="1180704" cy="833438"/>
        </a:xfrm>
        <a:prstGeom prst="rect">
          <a:avLst/>
        </a:prstGeom>
      </xdr:spPr>
    </xdr:pic>
    <xdr:clientData/>
  </xdr:twoCellAnchor>
  <xdr:twoCellAnchor editAs="oneCell">
    <xdr:from>
      <xdr:col>7</xdr:col>
      <xdr:colOff>35722</xdr:colOff>
      <xdr:row>102</xdr:row>
      <xdr:rowOff>59535</xdr:rowOff>
    </xdr:from>
    <xdr:to>
      <xdr:col>11</xdr:col>
      <xdr:colOff>627996</xdr:colOff>
      <xdr:row>107</xdr:row>
      <xdr:rowOff>58610</xdr:rowOff>
    </xdr:to>
    <xdr:pic>
      <xdr:nvPicPr>
        <xdr:cNvPr id="12" name="Picture 11">
          <a:extLst>
            <a:ext uri="{FF2B5EF4-FFF2-40B4-BE49-F238E27FC236}">
              <a16:creationId xmlns:a16="http://schemas.microsoft.com/office/drawing/2014/main" id="{896C64E7-C91C-4691-9290-6B88258BE26D}"/>
            </a:ext>
          </a:extLst>
        </xdr:cNvPr>
        <xdr:cNvPicPr>
          <a:picLocks noChangeAspect="1"/>
        </xdr:cNvPicPr>
      </xdr:nvPicPr>
      <xdr:blipFill>
        <a:blip xmlns:r="http://schemas.openxmlformats.org/officeDocument/2006/relationships" r:embed="rId4"/>
        <a:stretch>
          <a:fillRect/>
        </a:stretch>
      </xdr:blipFill>
      <xdr:spPr>
        <a:xfrm>
          <a:off x="4807747" y="29348910"/>
          <a:ext cx="3297374" cy="12630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lawson.build@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7"/>
  <sheetViews>
    <sheetView zoomScale="80" zoomScaleNormal="80" workbookViewId="0">
      <pane ySplit="5" topLeftCell="A24" activePane="bottomLeft" state="frozen"/>
      <selection pane="bottomLeft" activeCell="K28" sqref="K28"/>
    </sheetView>
  </sheetViews>
  <sheetFormatPr defaultColWidth="9.140625" defaultRowHeight="33" customHeight="1" x14ac:dyDescent="0.25"/>
  <cols>
    <col min="1" max="1" width="12.7109375" style="1" customWidth="1"/>
    <col min="2" max="2" width="5.140625" style="1" customWidth="1"/>
    <col min="3" max="3" width="23.28515625" style="1" customWidth="1"/>
    <col min="4" max="4" width="25.7109375" style="1" bestFit="1" customWidth="1"/>
    <col min="5" max="5" width="20.85546875" style="1" customWidth="1"/>
    <col min="6" max="6" width="46.42578125" style="1" customWidth="1"/>
    <col min="7" max="7" width="8.28515625" style="5" customWidth="1"/>
    <col min="8" max="8" width="13" style="3" customWidth="1"/>
    <col min="9" max="9" width="17.28515625" style="3" bestFit="1" customWidth="1"/>
    <col min="10" max="10" width="13" style="5" customWidth="1"/>
    <col min="11" max="11" width="12.5703125" style="3" bestFit="1" customWidth="1"/>
    <col min="12" max="12" width="16.28515625" style="3" bestFit="1" customWidth="1"/>
    <col min="13" max="13" width="15.28515625" style="3" customWidth="1"/>
    <col min="14" max="14" width="12.5703125" style="4" bestFit="1" customWidth="1"/>
    <col min="15" max="15" width="81.5703125" style="1" customWidth="1"/>
    <col min="16" max="16384" width="9.140625" style="1"/>
  </cols>
  <sheetData>
    <row r="1" spans="1:15" ht="33" customHeight="1" x14ac:dyDescent="0.25">
      <c r="A1" s="88" t="s">
        <v>43</v>
      </c>
      <c r="B1" s="88"/>
      <c r="C1" s="88"/>
      <c r="D1" s="88"/>
      <c r="E1" s="88"/>
      <c r="F1" s="88"/>
      <c r="G1" s="88"/>
      <c r="H1" s="88"/>
      <c r="I1" s="88"/>
      <c r="J1" s="88"/>
      <c r="K1" s="88"/>
      <c r="L1" s="88"/>
      <c r="O1" s="4"/>
    </row>
    <row r="2" spans="1:15" ht="33" customHeight="1" x14ac:dyDescent="0.25">
      <c r="A2" s="19" t="s">
        <v>42</v>
      </c>
      <c r="B2" s="89">
        <v>111885</v>
      </c>
      <c r="C2" s="89"/>
      <c r="D2" s="89"/>
      <c r="E2" s="89"/>
      <c r="F2" s="19" t="s">
        <v>14</v>
      </c>
      <c r="G2" s="89"/>
      <c r="H2" s="89"/>
      <c r="I2" s="89"/>
      <c r="J2" s="89"/>
      <c r="K2" s="89"/>
      <c r="L2" s="89"/>
      <c r="O2" s="4"/>
    </row>
    <row r="3" spans="1:15" ht="33" customHeight="1" x14ac:dyDescent="0.25">
      <c r="A3" s="19" t="s">
        <v>12</v>
      </c>
      <c r="B3" s="90"/>
      <c r="C3" s="89"/>
      <c r="D3" s="89"/>
      <c r="E3" s="89"/>
      <c r="F3" s="19" t="s">
        <v>15</v>
      </c>
      <c r="G3" s="89"/>
      <c r="H3" s="89"/>
      <c r="I3" s="89"/>
      <c r="J3" s="89"/>
      <c r="K3" s="89"/>
      <c r="L3" s="89"/>
      <c r="O3" s="4"/>
    </row>
    <row r="4" spans="1:15" ht="22.5" customHeight="1" x14ac:dyDescent="0.25">
      <c r="H4" s="85" t="s">
        <v>7</v>
      </c>
      <c r="I4" s="86"/>
      <c r="J4" s="86"/>
      <c r="K4" s="86"/>
      <c r="L4" s="87"/>
    </row>
    <row r="5" spans="1:15" s="5" customFormat="1" ht="33" customHeight="1" x14ac:dyDescent="0.25">
      <c r="A5" s="14" t="s">
        <v>2</v>
      </c>
      <c r="B5" s="14" t="s">
        <v>13</v>
      </c>
      <c r="C5" s="6" t="s">
        <v>1</v>
      </c>
      <c r="D5" s="6" t="s">
        <v>16</v>
      </c>
      <c r="E5" s="14" t="s">
        <v>17</v>
      </c>
      <c r="F5" s="14" t="s">
        <v>8</v>
      </c>
      <c r="G5" s="6" t="s">
        <v>0</v>
      </c>
      <c r="H5" s="17" t="s">
        <v>3</v>
      </c>
      <c r="I5" s="17" t="s">
        <v>5</v>
      </c>
      <c r="J5" s="6" t="s">
        <v>18</v>
      </c>
      <c r="K5" s="17" t="s">
        <v>4</v>
      </c>
      <c r="L5" s="18" t="s">
        <v>6</v>
      </c>
      <c r="M5" s="7" t="s">
        <v>40</v>
      </c>
      <c r="N5" s="8" t="s">
        <v>41</v>
      </c>
      <c r="O5" s="8" t="s">
        <v>9</v>
      </c>
    </row>
    <row r="6" spans="1:15" ht="33" customHeight="1" x14ac:dyDescent="0.25">
      <c r="A6" s="50"/>
      <c r="B6" s="51"/>
      <c r="C6" s="52"/>
      <c r="D6" s="53"/>
      <c r="E6" s="50"/>
      <c r="F6" s="51" t="s">
        <v>59</v>
      </c>
      <c r="G6" s="54"/>
      <c r="H6" s="55"/>
      <c r="I6" s="56"/>
      <c r="J6" s="54"/>
      <c r="K6" s="55"/>
      <c r="L6" s="56"/>
      <c r="M6" s="57"/>
      <c r="N6" s="58"/>
      <c r="O6" s="11"/>
    </row>
    <row r="7" spans="1:15" ht="33" customHeight="1" x14ac:dyDescent="0.25">
      <c r="A7" s="15"/>
      <c r="B7" s="16"/>
      <c r="C7" s="13"/>
      <c r="D7" s="12"/>
      <c r="E7" s="15"/>
      <c r="F7" s="16" t="s">
        <v>60</v>
      </c>
      <c r="G7" s="45">
        <v>1</v>
      </c>
      <c r="H7" s="20">
        <v>8721.82</v>
      </c>
      <c r="I7" s="21">
        <f t="shared" ref="I7:I11" si="0">G7*H7</f>
        <v>8721.82</v>
      </c>
      <c r="J7" s="45"/>
      <c r="K7" s="20">
        <v>9690.91</v>
      </c>
      <c r="L7" s="21">
        <f t="shared" ref="L7:L11" si="1">SUM(G7*K7)</f>
        <v>9690.91</v>
      </c>
      <c r="M7" s="9">
        <f t="shared" ref="M7:M11" si="2">L7-I7</f>
        <v>969.09000000000015</v>
      </c>
      <c r="N7" s="10">
        <f t="shared" ref="N7:N11" si="3">M7/L7</f>
        <v>9.999989681051627E-2</v>
      </c>
      <c r="O7" s="11"/>
    </row>
    <row r="8" spans="1:15" ht="33" customHeight="1" x14ac:dyDescent="0.25">
      <c r="A8" s="15"/>
      <c r="B8" s="16"/>
      <c r="C8" s="13"/>
      <c r="D8" s="12"/>
      <c r="E8" s="15"/>
      <c r="F8" s="16" t="s">
        <v>61</v>
      </c>
      <c r="G8" s="45">
        <v>1</v>
      </c>
      <c r="H8" s="20">
        <v>9572.73</v>
      </c>
      <c r="I8" s="21">
        <f t="shared" si="0"/>
        <v>9572.73</v>
      </c>
      <c r="J8" s="45"/>
      <c r="K8" s="20">
        <v>10636.36</v>
      </c>
      <c r="L8" s="21">
        <f t="shared" si="1"/>
        <v>10636.36</v>
      </c>
      <c r="M8" s="9">
        <f t="shared" si="2"/>
        <v>1063.630000000001</v>
      </c>
      <c r="N8" s="10">
        <f t="shared" si="3"/>
        <v>9.9999435897243139E-2</v>
      </c>
      <c r="O8" s="59"/>
    </row>
    <row r="9" spans="1:15" ht="33" customHeight="1" x14ac:dyDescent="0.25">
      <c r="A9" s="15"/>
      <c r="B9" s="16"/>
      <c r="C9" s="13"/>
      <c r="D9" s="12"/>
      <c r="E9" s="15"/>
      <c r="F9" s="16" t="s">
        <v>65</v>
      </c>
      <c r="G9" s="45">
        <v>1</v>
      </c>
      <c r="H9" s="20">
        <v>272.73</v>
      </c>
      <c r="I9" s="21">
        <f t="shared" si="0"/>
        <v>272.73</v>
      </c>
      <c r="J9" s="45"/>
      <c r="K9" s="20">
        <v>272.73</v>
      </c>
      <c r="L9" s="21">
        <f t="shared" si="1"/>
        <v>272.73</v>
      </c>
      <c r="M9" s="9">
        <f t="shared" si="2"/>
        <v>0</v>
      </c>
      <c r="N9" s="10">
        <f t="shared" si="3"/>
        <v>0</v>
      </c>
      <c r="O9" s="11"/>
    </row>
    <row r="10" spans="1:15" ht="33" customHeight="1" x14ac:dyDescent="0.25">
      <c r="A10" s="15"/>
      <c r="B10" s="16"/>
      <c r="C10" s="13"/>
      <c r="D10" s="12"/>
      <c r="E10" s="47" t="s">
        <v>66</v>
      </c>
      <c r="F10" s="16" t="s">
        <v>62</v>
      </c>
      <c r="G10" s="45">
        <v>1</v>
      </c>
      <c r="H10" s="20">
        <v>0</v>
      </c>
      <c r="I10" s="21">
        <v>0</v>
      </c>
      <c r="J10" s="45"/>
      <c r="K10" s="20">
        <v>0</v>
      </c>
      <c r="L10" s="21">
        <f t="shared" si="1"/>
        <v>0</v>
      </c>
      <c r="M10" s="9">
        <f t="shared" si="2"/>
        <v>0</v>
      </c>
      <c r="N10" s="10" t="e">
        <f t="shared" si="3"/>
        <v>#DIV/0!</v>
      </c>
      <c r="O10" s="11"/>
    </row>
    <row r="11" spans="1:15" ht="33" customHeight="1" x14ac:dyDescent="0.25">
      <c r="A11" s="15"/>
      <c r="B11" s="16"/>
      <c r="C11" s="13"/>
      <c r="D11" s="12"/>
      <c r="E11" s="15"/>
      <c r="F11" s="16" t="s">
        <v>63</v>
      </c>
      <c r="G11" s="45">
        <v>1</v>
      </c>
      <c r="H11" s="20">
        <v>340</v>
      </c>
      <c r="I11" s="21">
        <f t="shared" si="0"/>
        <v>340</v>
      </c>
      <c r="J11" s="45"/>
      <c r="K11" s="20">
        <v>380</v>
      </c>
      <c r="L11" s="21">
        <f t="shared" si="1"/>
        <v>380</v>
      </c>
      <c r="M11" s="9">
        <f t="shared" si="2"/>
        <v>40</v>
      </c>
      <c r="N11" s="10">
        <f t="shared" si="3"/>
        <v>0.10526315789473684</v>
      </c>
      <c r="O11" s="11"/>
    </row>
    <row r="12" spans="1:15" ht="33" customHeight="1" x14ac:dyDescent="0.25">
      <c r="A12" s="15"/>
      <c r="B12" s="16"/>
      <c r="C12" s="13"/>
      <c r="D12" s="12"/>
      <c r="E12" s="15"/>
      <c r="F12" s="16" t="s">
        <v>64</v>
      </c>
      <c r="G12" s="45">
        <v>1</v>
      </c>
      <c r="H12" s="20">
        <v>270</v>
      </c>
      <c r="I12" s="21">
        <f t="shared" ref="I12:I20" si="4">G12*H12</f>
        <v>270</v>
      </c>
      <c r="J12" s="45"/>
      <c r="K12" s="20">
        <v>350</v>
      </c>
      <c r="L12" s="21">
        <f t="shared" ref="L12:L20" si="5">SUM(G12*K12)</f>
        <v>350</v>
      </c>
      <c r="M12" s="9">
        <f t="shared" ref="M12:M20" si="6">L12-I12</f>
        <v>80</v>
      </c>
      <c r="N12" s="10">
        <f t="shared" ref="N12:N20" si="7">M12/L12</f>
        <v>0.22857142857142856</v>
      </c>
      <c r="O12" s="11"/>
    </row>
    <row r="13" spans="1:15" ht="33" customHeight="1" x14ac:dyDescent="0.25">
      <c r="A13" s="50"/>
      <c r="B13" s="51"/>
      <c r="C13" s="52"/>
      <c r="D13" s="53"/>
      <c r="E13" s="50"/>
      <c r="F13" s="51" t="s">
        <v>67</v>
      </c>
      <c r="G13" s="54"/>
      <c r="H13" s="55"/>
      <c r="I13" s="56"/>
      <c r="J13" s="54"/>
      <c r="K13" s="55"/>
      <c r="L13" s="56"/>
      <c r="M13" s="57"/>
      <c r="N13" s="58"/>
      <c r="O13" s="11"/>
    </row>
    <row r="14" spans="1:15" ht="33" customHeight="1" x14ac:dyDescent="0.25">
      <c r="A14" s="15"/>
      <c r="B14" s="16"/>
      <c r="C14" s="13"/>
      <c r="D14" s="12"/>
      <c r="E14" s="15"/>
      <c r="F14" s="16" t="s">
        <v>71</v>
      </c>
      <c r="G14" s="45">
        <v>1</v>
      </c>
      <c r="H14" s="20">
        <v>11004.55</v>
      </c>
      <c r="I14" s="21">
        <f t="shared" si="4"/>
        <v>11004.55</v>
      </c>
      <c r="J14" s="45"/>
      <c r="K14" s="20">
        <v>12227.2</v>
      </c>
      <c r="L14" s="21">
        <f t="shared" si="5"/>
        <v>12227.2</v>
      </c>
      <c r="M14" s="9">
        <f t="shared" si="6"/>
        <v>1222.6500000000015</v>
      </c>
      <c r="N14" s="10">
        <f t="shared" si="7"/>
        <v>9.9994275058885224E-2</v>
      </c>
      <c r="O14" s="11"/>
    </row>
    <row r="15" spans="1:15" ht="33" customHeight="1" x14ac:dyDescent="0.25">
      <c r="A15" s="15"/>
      <c r="B15" s="16"/>
      <c r="C15" s="13"/>
      <c r="D15" s="12"/>
      <c r="E15" s="15"/>
      <c r="F15" s="16" t="s">
        <v>72</v>
      </c>
      <c r="G15" s="45">
        <v>1</v>
      </c>
      <c r="H15" s="20">
        <v>12002.73</v>
      </c>
      <c r="I15" s="21">
        <f t="shared" si="4"/>
        <v>12002.73</v>
      </c>
      <c r="J15" s="45"/>
      <c r="K15" s="20">
        <v>13336.36</v>
      </c>
      <c r="L15" s="21">
        <f t="shared" si="5"/>
        <v>13336.36</v>
      </c>
      <c r="M15" s="9">
        <f t="shared" si="6"/>
        <v>1333.630000000001</v>
      </c>
      <c r="N15" s="10">
        <f t="shared" si="7"/>
        <v>9.9999550102126883E-2</v>
      </c>
      <c r="O15" s="11"/>
    </row>
    <row r="16" spans="1:15" ht="33" customHeight="1" x14ac:dyDescent="0.25">
      <c r="A16" s="15"/>
      <c r="B16" s="16"/>
      <c r="C16" s="13"/>
      <c r="D16" s="12"/>
      <c r="E16" s="15"/>
      <c r="F16" s="16" t="s">
        <v>65</v>
      </c>
      <c r="G16" s="45">
        <v>1</v>
      </c>
      <c r="H16" s="20">
        <v>272.73</v>
      </c>
      <c r="I16" s="21">
        <f t="shared" si="4"/>
        <v>272.73</v>
      </c>
      <c r="J16" s="45"/>
      <c r="K16" s="20">
        <v>272.73</v>
      </c>
      <c r="L16" s="21">
        <f t="shared" si="5"/>
        <v>272.73</v>
      </c>
      <c r="M16" s="9">
        <f t="shared" si="6"/>
        <v>0</v>
      </c>
      <c r="N16" s="10">
        <f t="shared" si="7"/>
        <v>0</v>
      </c>
      <c r="O16" s="11"/>
    </row>
    <row r="17" spans="1:15" ht="33" customHeight="1" x14ac:dyDescent="0.25">
      <c r="A17" s="15"/>
      <c r="B17" s="16"/>
      <c r="C17" s="13"/>
      <c r="D17" s="12"/>
      <c r="E17" s="47" t="s">
        <v>66</v>
      </c>
      <c r="F17" s="16" t="s">
        <v>62</v>
      </c>
      <c r="G17" s="45">
        <v>1</v>
      </c>
      <c r="H17" s="20">
        <v>0</v>
      </c>
      <c r="I17" s="21">
        <v>0</v>
      </c>
      <c r="J17" s="45"/>
      <c r="K17" s="20">
        <v>0</v>
      </c>
      <c r="L17" s="21">
        <f t="shared" si="5"/>
        <v>0</v>
      </c>
      <c r="M17" s="9">
        <f t="shared" si="6"/>
        <v>0</v>
      </c>
      <c r="N17" s="10" t="e">
        <f t="shared" si="7"/>
        <v>#DIV/0!</v>
      </c>
      <c r="O17" s="11"/>
    </row>
    <row r="18" spans="1:15" ht="33" customHeight="1" x14ac:dyDescent="0.25">
      <c r="A18" s="15"/>
      <c r="B18" s="16"/>
      <c r="C18" s="13"/>
      <c r="D18" s="12"/>
      <c r="E18" s="15"/>
      <c r="F18" s="16" t="s">
        <v>63</v>
      </c>
      <c r="G18" s="45">
        <v>1</v>
      </c>
      <c r="H18" s="20">
        <v>340</v>
      </c>
      <c r="I18" s="21">
        <f t="shared" ref="I18" si="8">G18*H18</f>
        <v>340</v>
      </c>
      <c r="J18" s="45"/>
      <c r="K18" s="20">
        <v>380</v>
      </c>
      <c r="L18" s="21">
        <f t="shared" si="5"/>
        <v>380</v>
      </c>
      <c r="M18" s="9">
        <f t="shared" si="6"/>
        <v>40</v>
      </c>
      <c r="N18" s="10">
        <f t="shared" si="7"/>
        <v>0.10526315789473684</v>
      </c>
      <c r="O18" s="11"/>
    </row>
    <row r="19" spans="1:15" ht="33" customHeight="1" x14ac:dyDescent="0.25">
      <c r="A19" s="15"/>
      <c r="B19" s="16"/>
      <c r="C19" s="13"/>
      <c r="D19" s="12"/>
      <c r="E19" s="15"/>
      <c r="F19" s="16" t="s">
        <v>64</v>
      </c>
      <c r="G19" s="45">
        <v>1</v>
      </c>
      <c r="H19" s="20">
        <v>300</v>
      </c>
      <c r="I19" s="21">
        <f t="shared" ref="I19" si="9">G19*H19</f>
        <v>300</v>
      </c>
      <c r="J19" s="45"/>
      <c r="K19" s="20">
        <v>380</v>
      </c>
      <c r="L19" s="21">
        <f t="shared" ref="L19" si="10">SUM(G19*K19)</f>
        <v>380</v>
      </c>
      <c r="M19" s="9">
        <f t="shared" ref="M19" si="11">L19-I19</f>
        <v>80</v>
      </c>
      <c r="N19" s="10">
        <f t="shared" ref="N19" si="12">M19/L19</f>
        <v>0.21052631578947367</v>
      </c>
      <c r="O19" s="11"/>
    </row>
    <row r="20" spans="1:15" ht="33" customHeight="1" x14ac:dyDescent="0.25">
      <c r="A20" s="15"/>
      <c r="B20" s="16"/>
      <c r="C20" s="13"/>
      <c r="D20" s="12"/>
      <c r="E20" s="15"/>
      <c r="F20" s="16"/>
      <c r="G20" s="45">
        <v>0</v>
      </c>
      <c r="H20" s="20">
        <v>0</v>
      </c>
      <c r="I20" s="21">
        <f t="shared" si="4"/>
        <v>0</v>
      </c>
      <c r="J20" s="45"/>
      <c r="K20" s="20">
        <f t="shared" ref="K12:K20" si="13">SUM(H20*J20)</f>
        <v>0</v>
      </c>
      <c r="L20" s="21">
        <f t="shared" si="5"/>
        <v>0</v>
      </c>
      <c r="M20" s="9">
        <f t="shared" si="6"/>
        <v>0</v>
      </c>
      <c r="N20" s="10" t="e">
        <f t="shared" si="7"/>
        <v>#DIV/0!</v>
      </c>
      <c r="O20" s="11"/>
    </row>
    <row r="21" spans="1:15" ht="33" customHeight="1" x14ac:dyDescent="0.25">
      <c r="A21" s="50"/>
      <c r="B21" s="51"/>
      <c r="C21" s="52"/>
      <c r="D21" s="53"/>
      <c r="E21" s="50"/>
      <c r="F21" s="51" t="s">
        <v>68</v>
      </c>
      <c r="G21" s="54"/>
      <c r="H21" s="55"/>
      <c r="I21" s="56"/>
      <c r="J21" s="54"/>
      <c r="K21" s="55"/>
      <c r="L21" s="56"/>
      <c r="M21" s="57"/>
      <c r="N21" s="58"/>
      <c r="O21" s="11"/>
    </row>
    <row r="22" spans="1:15" ht="33" customHeight="1" x14ac:dyDescent="0.25">
      <c r="A22" s="15"/>
      <c r="B22" s="16"/>
      <c r="C22" s="13"/>
      <c r="D22" s="12"/>
      <c r="E22" s="15"/>
      <c r="F22" s="16" t="s">
        <v>69</v>
      </c>
      <c r="G22" s="45">
        <v>1</v>
      </c>
      <c r="H22" s="20">
        <v>15381.82</v>
      </c>
      <c r="I22" s="21">
        <f t="shared" ref="I22:I24" si="14">G22*H22</f>
        <v>15381.82</v>
      </c>
      <c r="J22" s="45"/>
      <c r="K22" s="20">
        <v>17090.91</v>
      </c>
      <c r="L22" s="21">
        <f t="shared" ref="L22:L27" si="15">SUM(G22*K22)</f>
        <v>17090.91</v>
      </c>
      <c r="M22" s="9">
        <f t="shared" ref="M22:M27" si="16">L22-I22</f>
        <v>1709.0900000000001</v>
      </c>
      <c r="N22" s="10">
        <f t="shared" ref="N22:N27" si="17">M22/L22</f>
        <v>9.9999941489364821E-2</v>
      </c>
      <c r="O22" s="11"/>
    </row>
    <row r="23" spans="1:15" ht="33" customHeight="1" x14ac:dyDescent="0.25">
      <c r="A23" s="15"/>
      <c r="B23" s="16"/>
      <c r="C23" s="13"/>
      <c r="D23" s="12"/>
      <c r="E23" s="15"/>
      <c r="F23" s="16" t="s">
        <v>70</v>
      </c>
      <c r="G23" s="45">
        <v>1</v>
      </c>
      <c r="H23" s="20">
        <v>16715.45</v>
      </c>
      <c r="I23" s="21">
        <f t="shared" si="14"/>
        <v>16715.45</v>
      </c>
      <c r="J23" s="45"/>
      <c r="K23" s="20">
        <v>18572.73</v>
      </c>
      <c r="L23" s="21">
        <f t="shared" si="15"/>
        <v>18572.73</v>
      </c>
      <c r="M23" s="9">
        <f t="shared" si="16"/>
        <v>1857.2799999999988</v>
      </c>
      <c r="N23" s="10">
        <f t="shared" si="17"/>
        <v>0.10000037689666511</v>
      </c>
      <c r="O23" s="11"/>
    </row>
    <row r="24" spans="1:15" ht="33" customHeight="1" x14ac:dyDescent="0.25">
      <c r="A24" s="15"/>
      <c r="B24" s="16"/>
      <c r="C24" s="13"/>
      <c r="D24" s="12"/>
      <c r="E24" s="15"/>
      <c r="F24" s="16" t="s">
        <v>65</v>
      </c>
      <c r="G24" s="45">
        <v>1</v>
      </c>
      <c r="H24" s="20">
        <v>272.73</v>
      </c>
      <c r="I24" s="21">
        <f t="shared" si="14"/>
        <v>272.73</v>
      </c>
      <c r="J24" s="45"/>
      <c r="K24" s="20">
        <v>272.73</v>
      </c>
      <c r="L24" s="21">
        <f t="shared" si="15"/>
        <v>272.73</v>
      </c>
      <c r="M24" s="9">
        <f t="shared" si="16"/>
        <v>0</v>
      </c>
      <c r="N24" s="10">
        <f t="shared" si="17"/>
        <v>0</v>
      </c>
      <c r="O24" s="11"/>
    </row>
    <row r="25" spans="1:15" ht="33" customHeight="1" x14ac:dyDescent="0.25">
      <c r="A25" s="15"/>
      <c r="B25" s="16"/>
      <c r="C25" s="13"/>
      <c r="D25" s="12"/>
      <c r="E25" s="47" t="s">
        <v>66</v>
      </c>
      <c r="F25" s="16" t="s">
        <v>62</v>
      </c>
      <c r="G25" s="45">
        <v>1</v>
      </c>
      <c r="H25" s="20">
        <v>0</v>
      </c>
      <c r="I25" s="21">
        <v>0</v>
      </c>
      <c r="J25" s="45"/>
      <c r="K25" s="20">
        <v>0</v>
      </c>
      <c r="L25" s="21">
        <f t="shared" si="15"/>
        <v>0</v>
      </c>
      <c r="M25" s="9">
        <f t="shared" si="16"/>
        <v>0</v>
      </c>
      <c r="N25" s="10" t="e">
        <f t="shared" si="17"/>
        <v>#DIV/0!</v>
      </c>
      <c r="O25" s="11"/>
    </row>
    <row r="26" spans="1:15" ht="33" customHeight="1" x14ac:dyDescent="0.25">
      <c r="A26" s="15"/>
      <c r="B26" s="16"/>
      <c r="C26" s="13"/>
      <c r="D26" s="12"/>
      <c r="E26" s="15"/>
      <c r="F26" s="16" t="s">
        <v>63</v>
      </c>
      <c r="G26" s="45">
        <v>1</v>
      </c>
      <c r="H26" s="20">
        <v>340</v>
      </c>
      <c r="I26" s="21">
        <f t="shared" ref="I26" si="18">G26*H26</f>
        <v>340</v>
      </c>
      <c r="J26" s="45"/>
      <c r="K26" s="20">
        <v>380</v>
      </c>
      <c r="L26" s="21">
        <f t="shared" si="15"/>
        <v>380</v>
      </c>
      <c r="M26" s="9">
        <f t="shared" si="16"/>
        <v>40</v>
      </c>
      <c r="N26" s="10">
        <f t="shared" si="17"/>
        <v>0.10526315789473684</v>
      </c>
      <c r="O26" s="11"/>
    </row>
    <row r="27" spans="1:15" ht="33" customHeight="1" x14ac:dyDescent="0.25">
      <c r="A27" s="15"/>
      <c r="B27" s="16"/>
      <c r="C27" s="13"/>
      <c r="D27" s="12"/>
      <c r="E27" s="15"/>
      <c r="F27" s="16" t="s">
        <v>64</v>
      </c>
      <c r="G27" s="45">
        <v>1</v>
      </c>
      <c r="H27" s="20">
        <v>360</v>
      </c>
      <c r="I27" s="21">
        <f t="shared" ref="I27" si="19">G27*H27</f>
        <v>360</v>
      </c>
      <c r="J27" s="45"/>
      <c r="K27" s="20">
        <v>430</v>
      </c>
      <c r="L27" s="21">
        <f t="shared" si="15"/>
        <v>430</v>
      </c>
      <c r="M27" s="9">
        <f t="shared" si="16"/>
        <v>70</v>
      </c>
      <c r="N27" s="10">
        <f t="shared" si="17"/>
        <v>0.16279069767441862</v>
      </c>
      <c r="O27" s="11"/>
    </row>
  </sheetData>
  <autoFilter ref="A5:L27" xr:uid="{00000000-0009-0000-0000-000000000000}"/>
  <mergeCells count="6">
    <mergeCell ref="H4:L4"/>
    <mergeCell ref="A1:L1"/>
    <mergeCell ref="B2:E2"/>
    <mergeCell ref="B3:E3"/>
    <mergeCell ref="G2:L2"/>
    <mergeCell ref="G3:L3"/>
  </mergeCells>
  <dataValidations count="1">
    <dataValidation type="list" allowBlank="1" showInputMessage="1" showErrorMessage="1" sqref="B6:B12 B13:B27" xr:uid="{00000000-0002-0000-0000-000000000000}">
      <formula1>SUB_ASSY</formula1>
    </dataValidation>
  </dataValidations>
  <pageMargins left="0.19685039370078741" right="0.19685039370078741" top="0.19685039370078741" bottom="0.19685039370078741" header="0" footer="0"/>
  <pageSetup scale="4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32"/>
  <sheetViews>
    <sheetView tabSelected="1" view="pageBreakPreview" topLeftCell="A83" zoomScale="80" zoomScaleNormal="100" zoomScaleSheetLayoutView="80" zoomScalePageLayoutView="80" workbookViewId="0">
      <selection activeCell="A90" sqref="A90:H90"/>
    </sheetView>
  </sheetViews>
  <sheetFormatPr defaultColWidth="10.140625" defaultRowHeight="20.25" x14ac:dyDescent="0.25"/>
  <cols>
    <col min="1" max="1" width="13.42578125" style="29" bestFit="1" customWidth="1"/>
    <col min="2" max="4" width="10.140625" style="29"/>
    <col min="5" max="5" width="16.140625" style="29" customWidth="1"/>
    <col min="6" max="6" width="3.28515625" style="29" customWidth="1"/>
    <col min="7" max="7" width="11.5703125" style="29" customWidth="1"/>
    <col min="8" max="12" width="10.140625" style="29"/>
    <col min="13" max="13" width="2" style="29" customWidth="1"/>
    <col min="14" max="16384" width="10.140625" style="29"/>
  </cols>
  <sheetData>
    <row r="1" spans="1:12" s="2" customFormat="1" x14ac:dyDescent="0.25"/>
    <row r="2" spans="1:12" s="2" customFormat="1" x14ac:dyDescent="0.25">
      <c r="A2" s="22"/>
    </row>
    <row r="3" spans="1:12" s="2" customFormat="1" x14ac:dyDescent="0.25">
      <c r="A3" s="23"/>
      <c r="F3" s="24"/>
    </row>
    <row r="4" spans="1:12" s="2" customFormat="1" x14ac:dyDescent="0.25">
      <c r="A4" s="23"/>
      <c r="F4" s="24"/>
    </row>
    <row r="5" spans="1:12" s="2" customFormat="1" x14ac:dyDescent="0.25"/>
    <row r="6" spans="1:12" s="2" customFormat="1" x14ac:dyDescent="0.25"/>
    <row r="7" spans="1:12" s="2" customFormat="1" x14ac:dyDescent="0.25">
      <c r="L7" s="25"/>
    </row>
    <row r="8" spans="1:12" s="2" customFormat="1" x14ac:dyDescent="0.25">
      <c r="A8" s="23"/>
    </row>
    <row r="9" spans="1:12" s="2" customFormat="1" x14ac:dyDescent="0.25">
      <c r="A9" s="23" t="s">
        <v>10</v>
      </c>
    </row>
    <row r="10" spans="1:12" s="2" customFormat="1" x14ac:dyDescent="0.25">
      <c r="A10" s="22" t="s">
        <v>19</v>
      </c>
    </row>
    <row r="11" spans="1:12" s="2" customFormat="1" x14ac:dyDescent="0.25">
      <c r="A11" s="22"/>
    </row>
    <row r="12" spans="1:12" s="2" customFormat="1" ht="16.5" customHeight="1" x14ac:dyDescent="0.25">
      <c r="A12" s="73" t="s">
        <v>36</v>
      </c>
      <c r="B12" s="73"/>
      <c r="C12" s="73"/>
      <c r="D12" s="73"/>
      <c r="E12" s="73"/>
      <c r="F12" s="73"/>
      <c r="G12" s="73"/>
      <c r="H12" s="73"/>
      <c r="I12" s="73"/>
      <c r="J12" s="73"/>
      <c r="K12" s="73"/>
      <c r="L12" s="73"/>
    </row>
    <row r="13" spans="1:12" s="2" customFormat="1" x14ac:dyDescent="0.25">
      <c r="A13" s="73"/>
      <c r="B13" s="73"/>
      <c r="C13" s="73"/>
      <c r="D13" s="73"/>
      <c r="E13" s="73"/>
      <c r="F13" s="73"/>
      <c r="G13" s="73"/>
      <c r="H13" s="73"/>
      <c r="I13" s="73"/>
      <c r="J13" s="73"/>
      <c r="K13" s="73"/>
      <c r="L13" s="73"/>
    </row>
    <row r="14" spans="1:12" s="2" customFormat="1" x14ac:dyDescent="0.25">
      <c r="A14" s="73"/>
      <c r="B14" s="73"/>
      <c r="C14" s="73"/>
      <c r="D14" s="73"/>
      <c r="E14" s="73"/>
      <c r="F14" s="73"/>
      <c r="G14" s="73"/>
      <c r="H14" s="73"/>
      <c r="I14" s="73"/>
      <c r="J14" s="73"/>
      <c r="K14" s="73"/>
      <c r="L14" s="73"/>
    </row>
    <row r="15" spans="1:12" s="2" customFormat="1" x14ac:dyDescent="0.25">
      <c r="A15" s="73"/>
      <c r="B15" s="73"/>
      <c r="C15" s="73"/>
      <c r="D15" s="73"/>
      <c r="E15" s="73"/>
      <c r="F15" s="73"/>
      <c r="G15" s="73"/>
      <c r="H15" s="73"/>
      <c r="I15" s="73"/>
      <c r="J15" s="73"/>
      <c r="K15" s="73"/>
      <c r="L15" s="73"/>
    </row>
    <row r="16" spans="1:12" s="2" customFormat="1" x14ac:dyDescent="0.25">
      <c r="A16" s="73"/>
      <c r="B16" s="73"/>
      <c r="C16" s="73"/>
      <c r="D16" s="73"/>
      <c r="E16" s="73"/>
      <c r="F16" s="73"/>
      <c r="G16" s="73"/>
      <c r="H16" s="73"/>
      <c r="I16" s="73"/>
      <c r="J16" s="73"/>
      <c r="K16" s="73"/>
      <c r="L16" s="73"/>
    </row>
    <row r="17" spans="1:12" s="2" customFormat="1" x14ac:dyDescent="0.25">
      <c r="A17" s="73"/>
      <c r="B17" s="73"/>
      <c r="C17" s="73"/>
      <c r="D17" s="73"/>
      <c r="E17" s="73"/>
      <c r="F17" s="73"/>
      <c r="G17" s="73"/>
      <c r="H17" s="73"/>
      <c r="I17" s="73"/>
      <c r="J17" s="73"/>
      <c r="K17" s="73"/>
      <c r="L17" s="73"/>
    </row>
    <row r="18" spans="1:12" s="2" customFormat="1" x14ac:dyDescent="0.25">
      <c r="A18" s="73"/>
      <c r="B18" s="73"/>
      <c r="C18" s="73"/>
      <c r="D18" s="73"/>
      <c r="E18" s="73"/>
      <c r="F18" s="73"/>
      <c r="G18" s="73"/>
      <c r="H18" s="73"/>
      <c r="I18" s="73"/>
      <c r="J18" s="73"/>
      <c r="K18" s="73"/>
      <c r="L18" s="73"/>
    </row>
    <row r="19" spans="1:12" s="2" customFormat="1" x14ac:dyDescent="0.25">
      <c r="A19" s="73"/>
      <c r="B19" s="73"/>
      <c r="C19" s="73"/>
      <c r="D19" s="73"/>
      <c r="E19" s="73"/>
      <c r="F19" s="73"/>
      <c r="G19" s="73"/>
      <c r="H19" s="73"/>
      <c r="I19" s="73"/>
      <c r="J19" s="73"/>
      <c r="K19" s="73"/>
      <c r="L19" s="73"/>
    </row>
    <row r="20" spans="1:12" s="2" customFormat="1" x14ac:dyDescent="0.25">
      <c r="A20" s="73"/>
      <c r="B20" s="73"/>
      <c r="C20" s="73"/>
      <c r="D20" s="73"/>
      <c r="E20" s="73"/>
      <c r="F20" s="73"/>
      <c r="G20" s="73"/>
      <c r="H20" s="73"/>
      <c r="I20" s="73"/>
      <c r="J20" s="73"/>
      <c r="K20" s="73"/>
      <c r="L20" s="73"/>
    </row>
    <row r="21" spans="1:12" s="27" customFormat="1" ht="20.25" customHeight="1" x14ac:dyDescent="0.25">
      <c r="A21" s="75" t="s">
        <v>92</v>
      </c>
      <c r="B21" s="75"/>
      <c r="C21" s="75"/>
      <c r="D21" s="75"/>
      <c r="E21" s="43"/>
      <c r="F21" s="43"/>
      <c r="G21" s="43"/>
      <c r="H21" s="43"/>
      <c r="I21" s="43"/>
      <c r="J21" s="43"/>
      <c r="K21" s="43"/>
      <c r="L21" s="43"/>
    </row>
    <row r="22" spans="1:12" s="27" customFormat="1" ht="20.25" customHeight="1" x14ac:dyDescent="0.25">
      <c r="A22" s="46"/>
      <c r="B22" s="46"/>
      <c r="C22" s="46"/>
      <c r="D22" s="46"/>
      <c r="E22" s="43"/>
      <c r="F22" s="43"/>
      <c r="G22" s="43"/>
      <c r="H22" s="43"/>
      <c r="I22" s="43"/>
      <c r="J22" s="43"/>
      <c r="K22" s="43"/>
      <c r="L22" s="43"/>
    </row>
    <row r="23" spans="1:12" s="2" customFormat="1" x14ac:dyDescent="0.25">
      <c r="A23" s="26"/>
      <c r="B23" s="26"/>
      <c r="C23" s="26"/>
      <c r="D23" s="26"/>
      <c r="E23" s="26"/>
      <c r="F23" s="26"/>
      <c r="G23" s="26"/>
      <c r="H23" s="26"/>
      <c r="I23" s="26"/>
      <c r="J23" s="26"/>
      <c r="K23" s="26"/>
      <c r="L23" s="26"/>
    </row>
    <row r="24" spans="1:12" s="2" customFormat="1" x14ac:dyDescent="0.25">
      <c r="A24" s="44" t="s">
        <v>93</v>
      </c>
    </row>
    <row r="25" spans="1:12" s="2" customFormat="1" x14ac:dyDescent="0.25">
      <c r="A25" s="27"/>
    </row>
    <row r="26" spans="1:12" s="2" customFormat="1" x14ac:dyDescent="0.25">
      <c r="A26" s="27"/>
    </row>
    <row r="27" spans="1:12" s="2" customFormat="1" x14ac:dyDescent="0.25">
      <c r="A27" s="27" t="s">
        <v>94</v>
      </c>
      <c r="B27" s="27"/>
    </row>
    <row r="28" spans="1:12" s="2" customFormat="1" x14ac:dyDescent="0.25">
      <c r="A28" s="27"/>
      <c r="C28" s="23"/>
    </row>
    <row r="29" spans="1:12" s="2" customFormat="1" ht="20.25" customHeight="1" x14ac:dyDescent="0.25">
      <c r="A29" s="64" t="s">
        <v>44</v>
      </c>
      <c r="B29" s="64"/>
      <c r="C29" s="64"/>
      <c r="D29" s="64"/>
      <c r="E29" s="64"/>
      <c r="F29" s="64"/>
      <c r="G29" s="64"/>
      <c r="H29" s="64"/>
      <c r="I29" s="64"/>
      <c r="J29" s="64"/>
      <c r="K29" s="64"/>
      <c r="L29" s="64"/>
    </row>
    <row r="30" spans="1:12" s="2" customFormat="1" x14ac:dyDescent="0.25">
      <c r="A30" s="64"/>
      <c r="B30" s="64"/>
      <c r="C30" s="64"/>
      <c r="D30" s="64"/>
      <c r="E30" s="64"/>
      <c r="F30" s="64"/>
      <c r="G30" s="64"/>
      <c r="H30" s="64"/>
      <c r="I30" s="64"/>
      <c r="J30" s="64"/>
      <c r="K30" s="64"/>
      <c r="L30" s="64"/>
    </row>
    <row r="31" spans="1:12" s="2" customFormat="1" x14ac:dyDescent="0.25">
      <c r="A31" s="64"/>
      <c r="B31" s="64"/>
      <c r="C31" s="64"/>
      <c r="D31" s="64"/>
      <c r="E31" s="64"/>
      <c r="F31" s="64"/>
      <c r="G31" s="64"/>
      <c r="H31" s="64"/>
      <c r="I31" s="64"/>
      <c r="J31" s="64"/>
      <c r="K31" s="64"/>
      <c r="L31" s="64"/>
    </row>
    <row r="32" spans="1:12" s="2" customFormat="1" x14ac:dyDescent="0.25">
      <c r="A32" s="64"/>
      <c r="B32" s="64"/>
      <c r="C32" s="64"/>
      <c r="D32" s="64"/>
      <c r="E32" s="64"/>
      <c r="F32" s="64"/>
      <c r="G32" s="64"/>
      <c r="H32" s="64"/>
      <c r="I32" s="64"/>
      <c r="J32" s="64"/>
      <c r="K32" s="64"/>
      <c r="L32" s="64"/>
    </row>
    <row r="33" spans="1:12" s="2" customFormat="1" x14ac:dyDescent="0.25">
      <c r="A33" s="64"/>
      <c r="B33" s="64"/>
      <c r="C33" s="64"/>
      <c r="D33" s="64"/>
      <c r="E33" s="64"/>
      <c r="F33" s="64"/>
      <c r="G33" s="64"/>
      <c r="H33" s="64"/>
      <c r="I33" s="64"/>
      <c r="J33" s="64"/>
      <c r="K33" s="64"/>
      <c r="L33" s="64"/>
    </row>
    <row r="34" spans="1:12" s="2" customFormat="1" x14ac:dyDescent="0.25">
      <c r="A34" s="64"/>
      <c r="B34" s="64"/>
      <c r="C34" s="64"/>
      <c r="D34" s="64"/>
      <c r="E34" s="64"/>
      <c r="F34" s="64"/>
      <c r="G34" s="64"/>
      <c r="H34" s="64"/>
      <c r="I34" s="64"/>
      <c r="J34" s="64"/>
      <c r="K34" s="64"/>
      <c r="L34" s="64"/>
    </row>
    <row r="35" spans="1:12" s="2" customFormat="1" x14ac:dyDescent="0.25">
      <c r="A35" s="64"/>
      <c r="B35" s="64"/>
      <c r="C35" s="64"/>
      <c r="D35" s="64"/>
      <c r="E35" s="64"/>
      <c r="F35" s="64"/>
      <c r="G35" s="64"/>
      <c r="H35" s="64"/>
      <c r="I35" s="64"/>
      <c r="J35" s="64"/>
      <c r="K35" s="64"/>
      <c r="L35" s="64"/>
    </row>
    <row r="36" spans="1:12" s="2" customFormat="1" x14ac:dyDescent="0.25">
      <c r="A36" s="64"/>
      <c r="B36" s="64"/>
      <c r="C36" s="64"/>
      <c r="D36" s="64"/>
      <c r="E36" s="64"/>
      <c r="F36" s="64"/>
      <c r="G36" s="64"/>
      <c r="H36" s="64"/>
      <c r="I36" s="64"/>
      <c r="J36" s="64"/>
      <c r="K36" s="64"/>
      <c r="L36" s="64"/>
    </row>
    <row r="37" spans="1:12" s="2" customFormat="1" x14ac:dyDescent="0.25">
      <c r="A37" s="64"/>
      <c r="B37" s="64"/>
      <c r="C37" s="64"/>
      <c r="D37" s="64"/>
      <c r="E37" s="64"/>
      <c r="F37" s="64"/>
      <c r="G37" s="64"/>
      <c r="H37" s="64"/>
      <c r="I37" s="64"/>
      <c r="J37" s="64"/>
      <c r="K37" s="64"/>
      <c r="L37" s="64"/>
    </row>
    <row r="38" spans="1:12" s="2" customFormat="1" x14ac:dyDescent="0.25">
      <c r="A38" s="64"/>
      <c r="B38" s="64"/>
      <c r="C38" s="64"/>
      <c r="D38" s="64"/>
      <c r="E38" s="64"/>
      <c r="F38" s="64"/>
      <c r="G38" s="64"/>
      <c r="H38" s="64"/>
      <c r="I38" s="64"/>
      <c r="J38" s="64"/>
      <c r="K38" s="64"/>
      <c r="L38" s="64"/>
    </row>
    <row r="39" spans="1:12" s="2" customFormat="1" x14ac:dyDescent="0.25">
      <c r="A39" s="64"/>
      <c r="B39" s="64"/>
      <c r="C39" s="64"/>
      <c r="D39" s="64"/>
      <c r="E39" s="64"/>
      <c r="F39" s="64"/>
      <c r="G39" s="64"/>
      <c r="H39" s="64"/>
      <c r="I39" s="64"/>
      <c r="J39" s="64"/>
      <c r="K39" s="64"/>
      <c r="L39" s="64"/>
    </row>
    <row r="40" spans="1:12" s="2" customFormat="1" x14ac:dyDescent="0.25">
      <c r="A40" s="64"/>
      <c r="B40" s="64"/>
      <c r="C40" s="64"/>
      <c r="D40" s="64"/>
      <c r="E40" s="64"/>
      <c r="F40" s="64"/>
      <c r="G40" s="64"/>
      <c r="H40" s="64"/>
      <c r="I40" s="64"/>
      <c r="J40" s="64"/>
      <c r="K40" s="64"/>
      <c r="L40" s="64"/>
    </row>
    <row r="41" spans="1:12" s="2" customFormat="1" x14ac:dyDescent="0.25">
      <c r="A41" s="64"/>
      <c r="B41" s="64"/>
      <c r="C41" s="64"/>
      <c r="D41" s="64"/>
      <c r="E41" s="64"/>
      <c r="F41" s="64"/>
      <c r="G41" s="64"/>
      <c r="H41" s="64"/>
      <c r="I41" s="64"/>
      <c r="J41" s="64"/>
      <c r="K41" s="64"/>
      <c r="L41" s="64"/>
    </row>
    <row r="42" spans="1:12" s="2" customFormat="1" x14ac:dyDescent="0.25">
      <c r="A42" s="64"/>
      <c r="B42" s="64"/>
      <c r="C42" s="64"/>
      <c r="D42" s="64"/>
      <c r="E42" s="64"/>
      <c r="F42" s="64"/>
      <c r="G42" s="64"/>
      <c r="H42" s="64"/>
      <c r="I42" s="64"/>
      <c r="J42" s="64"/>
      <c r="K42" s="64"/>
      <c r="L42" s="64"/>
    </row>
    <row r="43" spans="1:12" s="2" customFormat="1" x14ac:dyDescent="0.25">
      <c r="A43" s="64"/>
      <c r="B43" s="64"/>
      <c r="C43" s="64"/>
      <c r="D43" s="64"/>
      <c r="E43" s="64"/>
      <c r="F43" s="64"/>
      <c r="G43" s="64"/>
      <c r="H43" s="64"/>
      <c r="I43" s="64"/>
      <c r="J43" s="64"/>
      <c r="K43" s="64"/>
      <c r="L43" s="64"/>
    </row>
    <row r="44" spans="1:12" s="2" customFormat="1" x14ac:dyDescent="0.25">
      <c r="A44" s="2" t="s">
        <v>20</v>
      </c>
    </row>
    <row r="45" spans="1:12" s="2" customFormat="1" x14ac:dyDescent="0.25"/>
    <row r="46" spans="1:12" s="2" customFormat="1" x14ac:dyDescent="0.25"/>
    <row r="47" spans="1:12" s="2" customFormat="1" x14ac:dyDescent="0.25"/>
    <row r="48" spans="1:12" s="2" customFormat="1" x14ac:dyDescent="0.25"/>
    <row r="49" spans="1:14" s="2" customFormat="1" x14ac:dyDescent="0.25"/>
    <row r="50" spans="1:14" s="2" customFormat="1" x14ac:dyDescent="0.25"/>
    <row r="51" spans="1:14" s="2" customFormat="1" x14ac:dyDescent="0.25">
      <c r="A51" s="2" t="s">
        <v>52</v>
      </c>
    </row>
    <row r="52" spans="1:14" s="2" customFormat="1" x14ac:dyDescent="0.25"/>
    <row r="53" spans="1:14" s="2" customFormat="1" x14ac:dyDescent="0.25">
      <c r="A53" s="2" t="s">
        <v>53</v>
      </c>
    </row>
    <row r="54" spans="1:14" x14ac:dyDescent="0.25">
      <c r="A54" s="28" t="s">
        <v>37</v>
      </c>
    </row>
    <row r="55" spans="1:14" x14ac:dyDescent="0.25">
      <c r="A55" s="28"/>
    </row>
    <row r="56" spans="1:14" x14ac:dyDescent="0.25">
      <c r="A56" s="28"/>
    </row>
    <row r="57" spans="1:14" x14ac:dyDescent="0.25">
      <c r="A57" s="28"/>
    </row>
    <row r="58" spans="1:14" x14ac:dyDescent="0.25">
      <c r="A58" s="28"/>
    </row>
    <row r="59" spans="1:14" x14ac:dyDescent="0.25">
      <c r="A59" s="28"/>
    </row>
    <row r="60" spans="1:14" x14ac:dyDescent="0.25">
      <c r="A60" s="28"/>
    </row>
    <row r="61" spans="1:14" x14ac:dyDescent="0.25">
      <c r="A61" s="28"/>
    </row>
    <row r="62" spans="1:14" s="2" customFormat="1" x14ac:dyDescent="0.25">
      <c r="A62" s="61" t="s">
        <v>21</v>
      </c>
      <c r="B62" s="61"/>
      <c r="C62" s="61"/>
      <c r="D62" s="61"/>
      <c r="E62" s="61"/>
      <c r="F62" s="61"/>
      <c r="G62" s="61" t="s">
        <v>22</v>
      </c>
      <c r="H62" s="61"/>
      <c r="I62" s="61"/>
      <c r="J62" s="61"/>
      <c r="K62" s="61"/>
      <c r="L62" s="61"/>
      <c r="M62" s="31"/>
      <c r="N62" s="31"/>
    </row>
    <row r="63" spans="1:14" s="2" customFormat="1" x14ac:dyDescent="0.25">
      <c r="A63" s="31" t="s">
        <v>23</v>
      </c>
      <c r="B63" s="70" t="s">
        <v>77</v>
      </c>
      <c r="C63" s="70"/>
      <c r="D63" s="70"/>
      <c r="E63" s="70"/>
      <c r="F63" s="70"/>
      <c r="G63" s="31" t="s">
        <v>24</v>
      </c>
      <c r="H63" s="68" t="s">
        <v>73</v>
      </c>
      <c r="I63" s="68"/>
      <c r="J63" s="68"/>
      <c r="K63" s="68"/>
      <c r="L63" s="68"/>
    </row>
    <row r="64" spans="1:14" s="2" customFormat="1" x14ac:dyDescent="0.25">
      <c r="A64" s="31" t="s">
        <v>25</v>
      </c>
      <c r="B64" s="77"/>
      <c r="C64" s="77"/>
      <c r="D64" s="77"/>
      <c r="E64" s="77"/>
      <c r="F64" s="77"/>
      <c r="G64" s="31"/>
      <c r="H64" s="68" t="s">
        <v>74</v>
      </c>
      <c r="I64" s="68"/>
      <c r="J64" s="68"/>
      <c r="K64" s="68"/>
      <c r="L64" s="68"/>
      <c r="M64" s="68"/>
      <c r="N64" s="68"/>
    </row>
    <row r="65" spans="1:14" s="2" customFormat="1" x14ac:dyDescent="0.25">
      <c r="A65" s="31" t="s">
        <v>26</v>
      </c>
      <c r="B65" s="69" t="s">
        <v>78</v>
      </c>
      <c r="C65" s="70"/>
      <c r="D65" s="70"/>
      <c r="E65" s="70"/>
      <c r="F65" s="70"/>
      <c r="G65" s="31"/>
      <c r="H65" s="68"/>
      <c r="I65" s="68"/>
      <c r="J65" s="68"/>
      <c r="K65" s="68"/>
      <c r="L65" s="68"/>
      <c r="M65" s="28"/>
      <c r="N65" s="28"/>
    </row>
    <row r="66" spans="1:14" s="2" customFormat="1" x14ac:dyDescent="0.35">
      <c r="A66" s="31" t="s">
        <v>27</v>
      </c>
      <c r="B66" s="71" t="s">
        <v>76</v>
      </c>
      <c r="C66" s="72"/>
      <c r="D66" s="72"/>
      <c r="E66" s="72"/>
      <c r="F66" s="72"/>
      <c r="G66" s="32" t="s">
        <v>28</v>
      </c>
      <c r="H66" s="68" t="s">
        <v>75</v>
      </c>
      <c r="I66" s="68"/>
      <c r="J66" s="68"/>
      <c r="K66" s="68"/>
      <c r="L66" s="68"/>
      <c r="M66" s="28"/>
      <c r="N66" s="28"/>
    </row>
    <row r="67" spans="1:14" s="2" customFormat="1" x14ac:dyDescent="0.25">
      <c r="B67" s="33"/>
      <c r="C67" s="33"/>
      <c r="D67" s="33"/>
      <c r="E67" s="33"/>
      <c r="H67" s="28"/>
      <c r="I67" s="28"/>
      <c r="J67" s="28"/>
      <c r="K67" s="28"/>
      <c r="L67" s="28"/>
      <c r="M67" s="28"/>
      <c r="N67" s="28"/>
    </row>
    <row r="68" spans="1:14" s="2" customFormat="1" x14ac:dyDescent="0.25">
      <c r="A68" s="76" t="s">
        <v>29</v>
      </c>
      <c r="B68" s="76"/>
      <c r="C68" s="76"/>
      <c r="D68" s="76"/>
      <c r="E68" s="31"/>
      <c r="F68" s="31"/>
      <c r="G68" s="31"/>
      <c r="H68" s="31"/>
      <c r="I68" s="31"/>
      <c r="J68" s="31"/>
      <c r="K68" s="31"/>
      <c r="L68" s="31"/>
    </row>
    <row r="69" spans="1:14" s="2" customFormat="1" ht="14.25" customHeight="1" x14ac:dyDescent="0.25">
      <c r="A69" s="34" t="s">
        <v>45</v>
      </c>
      <c r="B69" s="34"/>
      <c r="C69" s="34"/>
      <c r="D69" s="34"/>
      <c r="E69" s="34"/>
      <c r="F69" s="34"/>
      <c r="G69" s="34"/>
      <c r="H69" s="34"/>
      <c r="I69" s="34"/>
      <c r="J69" s="34"/>
      <c r="K69" s="34"/>
      <c r="L69" s="34"/>
      <c r="M69" s="34"/>
      <c r="N69" s="34"/>
    </row>
    <row r="70" spans="1:14" s="2" customFormat="1" ht="16.5" customHeight="1" x14ac:dyDescent="0.25">
      <c r="A70" s="74" t="s">
        <v>91</v>
      </c>
      <c r="B70" s="74"/>
      <c r="C70" s="74"/>
      <c r="D70" s="74"/>
      <c r="E70" s="74"/>
      <c r="F70" s="74"/>
      <c r="G70" s="74"/>
      <c r="H70" s="74"/>
      <c r="I70" s="74"/>
      <c r="J70" s="74"/>
      <c r="K70" s="74"/>
      <c r="L70" s="74"/>
      <c r="M70" s="34"/>
      <c r="N70" s="34"/>
    </row>
    <row r="71" spans="1:14" s="2" customFormat="1" x14ac:dyDescent="0.25">
      <c r="A71" s="74"/>
      <c r="B71" s="74"/>
      <c r="C71" s="74"/>
      <c r="D71" s="74"/>
      <c r="E71" s="74"/>
      <c r="F71" s="74"/>
      <c r="G71" s="74"/>
      <c r="H71" s="74"/>
      <c r="I71" s="74"/>
      <c r="J71" s="74"/>
      <c r="K71" s="74"/>
      <c r="L71" s="74"/>
      <c r="M71" s="34"/>
      <c r="N71" s="34"/>
    </row>
    <row r="72" spans="1:14" s="2" customFormat="1" x14ac:dyDescent="0.25">
      <c r="A72" s="74"/>
      <c r="B72" s="74"/>
      <c r="C72" s="74"/>
      <c r="D72" s="74"/>
      <c r="E72" s="74"/>
      <c r="F72" s="74"/>
      <c r="G72" s="74"/>
      <c r="H72" s="74"/>
      <c r="I72" s="74"/>
      <c r="J72" s="74"/>
      <c r="K72" s="74"/>
      <c r="L72" s="74"/>
      <c r="M72" s="34"/>
      <c r="N72" s="34"/>
    </row>
    <row r="73" spans="1:14" s="2" customFormat="1" x14ac:dyDescent="0.25">
      <c r="A73" s="74"/>
      <c r="B73" s="74"/>
      <c r="C73" s="74"/>
      <c r="D73" s="74"/>
      <c r="E73" s="74"/>
      <c r="F73" s="74"/>
      <c r="G73" s="74"/>
      <c r="H73" s="74"/>
      <c r="I73" s="74"/>
      <c r="J73" s="74"/>
      <c r="K73" s="74"/>
      <c r="L73" s="74"/>
      <c r="M73" s="34"/>
      <c r="N73" s="34"/>
    </row>
    <row r="74" spans="1:14" s="2" customFormat="1" x14ac:dyDescent="0.25">
      <c r="A74" s="74"/>
      <c r="B74" s="74"/>
      <c r="C74" s="74"/>
      <c r="D74" s="74"/>
      <c r="E74" s="74"/>
      <c r="F74" s="74"/>
      <c r="G74" s="74"/>
      <c r="H74" s="74"/>
      <c r="I74" s="74"/>
      <c r="J74" s="74"/>
      <c r="K74" s="74"/>
      <c r="L74" s="74"/>
      <c r="M74" s="34"/>
      <c r="N74" s="34"/>
    </row>
    <row r="75" spans="1:14" s="2" customFormat="1" x14ac:dyDescent="0.25">
      <c r="A75" s="74"/>
      <c r="B75" s="74"/>
      <c r="C75" s="74"/>
      <c r="D75" s="74"/>
      <c r="E75" s="74"/>
      <c r="F75" s="74"/>
      <c r="G75" s="74"/>
      <c r="H75" s="74"/>
      <c r="I75" s="74"/>
      <c r="J75" s="74"/>
      <c r="K75" s="74"/>
      <c r="L75" s="74"/>
      <c r="M75" s="34"/>
      <c r="N75" s="34"/>
    </row>
    <row r="76" spans="1:14" s="2" customFormat="1" x14ac:dyDescent="0.25">
      <c r="A76" s="74"/>
      <c r="B76" s="74"/>
      <c r="C76" s="74"/>
      <c r="D76" s="74"/>
      <c r="E76" s="74"/>
      <c r="F76" s="74"/>
      <c r="G76" s="74"/>
      <c r="H76" s="74"/>
      <c r="I76" s="74"/>
      <c r="J76" s="74"/>
      <c r="K76" s="74"/>
      <c r="L76" s="74"/>
      <c r="M76" s="34"/>
      <c r="N76" s="34"/>
    </row>
    <row r="77" spans="1:14" s="2" customFormat="1" x14ac:dyDescent="0.25">
      <c r="A77" s="74"/>
      <c r="B77" s="74"/>
      <c r="C77" s="74"/>
      <c r="D77" s="74"/>
      <c r="E77" s="74"/>
      <c r="F77" s="74"/>
      <c r="G77" s="74"/>
      <c r="H77" s="74"/>
      <c r="I77" s="74"/>
      <c r="J77" s="74"/>
      <c r="K77" s="74"/>
      <c r="L77" s="74"/>
      <c r="M77" s="34"/>
      <c r="N77" s="34"/>
    </row>
    <row r="78" spans="1:14" s="2" customFormat="1" x14ac:dyDescent="0.25">
      <c r="A78" s="74"/>
      <c r="B78" s="74"/>
      <c r="C78" s="74"/>
      <c r="D78" s="74"/>
      <c r="E78" s="74"/>
      <c r="F78" s="74"/>
      <c r="G78" s="74"/>
      <c r="H78" s="74"/>
      <c r="I78" s="74"/>
      <c r="J78" s="74"/>
      <c r="K78" s="74"/>
      <c r="L78" s="74"/>
      <c r="M78" s="34"/>
      <c r="N78" s="34"/>
    </row>
    <row r="79" spans="1:14" s="2" customFormat="1" x14ac:dyDescent="0.25">
      <c r="A79" s="74"/>
      <c r="B79" s="74"/>
      <c r="C79" s="74"/>
      <c r="D79" s="74"/>
      <c r="E79" s="74"/>
      <c r="F79" s="74"/>
      <c r="G79" s="74"/>
      <c r="H79" s="74"/>
      <c r="I79" s="74"/>
      <c r="J79" s="74"/>
      <c r="K79" s="74"/>
      <c r="L79" s="74"/>
      <c r="M79" s="34"/>
      <c r="N79" s="34"/>
    </row>
    <row r="80" spans="1:14" s="2" customFormat="1" x14ac:dyDescent="0.25">
      <c r="A80" s="74"/>
      <c r="B80" s="74"/>
      <c r="C80" s="74"/>
      <c r="D80" s="74"/>
      <c r="E80" s="74"/>
      <c r="F80" s="74"/>
      <c r="G80" s="74"/>
      <c r="H80" s="74"/>
      <c r="I80" s="74"/>
      <c r="J80" s="74"/>
      <c r="K80" s="74"/>
      <c r="L80" s="74"/>
      <c r="M80" s="34"/>
      <c r="N80" s="34"/>
    </row>
    <row r="81" spans="1:14" s="2" customFormat="1" x14ac:dyDescent="0.25">
      <c r="A81" s="74"/>
      <c r="B81" s="74"/>
      <c r="C81" s="74"/>
      <c r="D81" s="74"/>
      <c r="E81" s="74"/>
      <c r="F81" s="74"/>
      <c r="G81" s="74"/>
      <c r="H81" s="74"/>
      <c r="I81" s="74"/>
      <c r="J81" s="74"/>
      <c r="K81" s="74"/>
      <c r="L81" s="74"/>
      <c r="M81" s="34"/>
      <c r="N81" s="34"/>
    </row>
    <row r="82" spans="1:14" s="2" customFormat="1" ht="96" customHeight="1" x14ac:dyDescent="0.25">
      <c r="A82" s="74"/>
      <c r="B82" s="74"/>
      <c r="C82" s="74"/>
      <c r="D82" s="74"/>
      <c r="E82" s="74"/>
      <c r="F82" s="74"/>
      <c r="G82" s="74"/>
      <c r="H82" s="74"/>
      <c r="I82" s="74"/>
      <c r="J82" s="74"/>
      <c r="K82" s="74"/>
      <c r="L82" s="74"/>
      <c r="M82" s="34"/>
      <c r="N82" s="34"/>
    </row>
    <row r="83" spans="1:14" s="2" customFormat="1" x14ac:dyDescent="0.25"/>
    <row r="84" spans="1:14" s="2" customFormat="1" ht="19.5" customHeight="1" x14ac:dyDescent="0.25">
      <c r="A84" s="76" t="s">
        <v>11</v>
      </c>
      <c r="B84" s="76"/>
      <c r="C84" s="76"/>
      <c r="D84" s="76"/>
      <c r="E84" s="76"/>
      <c r="F84" s="76"/>
      <c r="G84" s="76"/>
      <c r="H84" s="76"/>
      <c r="I84" s="76"/>
      <c r="J84" s="76"/>
      <c r="K84" s="76"/>
      <c r="L84" s="76"/>
    </row>
    <row r="85" spans="1:14" s="2" customFormat="1" ht="19.5" customHeight="1" x14ac:dyDescent="0.25">
      <c r="A85" s="35"/>
      <c r="B85" s="35"/>
      <c r="C85" s="35"/>
      <c r="D85" s="35"/>
      <c r="E85" s="35"/>
      <c r="F85" s="35"/>
      <c r="G85" s="35"/>
      <c r="H85" s="35"/>
      <c r="I85" s="35"/>
      <c r="J85" s="35"/>
      <c r="K85" s="35"/>
      <c r="L85" s="35"/>
    </row>
    <row r="86" spans="1:14" s="31" customFormat="1" ht="19.5" customHeight="1" x14ac:dyDescent="0.25">
      <c r="A86" s="78"/>
      <c r="B86" s="78"/>
      <c r="C86" s="78"/>
      <c r="D86" s="78"/>
      <c r="E86" s="78"/>
      <c r="F86" s="78"/>
      <c r="G86" s="78"/>
      <c r="H86" s="78"/>
      <c r="I86" s="79" t="s">
        <v>31</v>
      </c>
      <c r="J86" s="79"/>
      <c r="K86" s="79" t="s">
        <v>39</v>
      </c>
      <c r="L86" s="79"/>
    </row>
    <row r="87" spans="1:14" s="48" customFormat="1" ht="19.5" customHeight="1" x14ac:dyDescent="0.35">
      <c r="A87" s="80" t="s">
        <v>87</v>
      </c>
      <c r="B87" s="80"/>
      <c r="C87" s="80"/>
      <c r="D87" s="80"/>
      <c r="E87" s="80"/>
      <c r="F87" s="80"/>
      <c r="G87" s="80"/>
      <c r="H87" s="80"/>
      <c r="I87" s="81"/>
      <c r="J87" s="81"/>
      <c r="K87" s="81"/>
      <c r="L87" s="81"/>
    </row>
    <row r="88" spans="1:14" s="2" customFormat="1" ht="19.5" customHeight="1" x14ac:dyDescent="0.25">
      <c r="A88" s="82" t="s">
        <v>80</v>
      </c>
      <c r="B88" s="82"/>
      <c r="C88" s="82"/>
      <c r="D88" s="82"/>
      <c r="E88" s="82"/>
      <c r="F88" s="82"/>
      <c r="G88" s="82"/>
      <c r="H88" s="82"/>
      <c r="I88" s="83">
        <f>SUM('Job BOM'!L7,'Job BOM'!L9)</f>
        <v>9963.64</v>
      </c>
      <c r="J88" s="83"/>
      <c r="K88" s="83">
        <f>I88*1.1</f>
        <v>10960.004000000001</v>
      </c>
      <c r="L88" s="83"/>
    </row>
    <row r="89" spans="1:14" s="2" customFormat="1" ht="19.5" customHeight="1" x14ac:dyDescent="0.25">
      <c r="A89" s="82" t="s">
        <v>81</v>
      </c>
      <c r="B89" s="82"/>
      <c r="C89" s="82"/>
      <c r="D89" s="82"/>
      <c r="E89" s="82"/>
      <c r="F89" s="82"/>
      <c r="G89" s="82"/>
      <c r="H89" s="82"/>
      <c r="I89" s="83">
        <f>SUM('Job BOM'!L8,'Job BOM'!L9)</f>
        <v>10909.09</v>
      </c>
      <c r="J89" s="83"/>
      <c r="K89" s="83">
        <f>I89*1.1</f>
        <v>11999.999000000002</v>
      </c>
      <c r="L89" s="83"/>
    </row>
    <row r="90" spans="1:14" s="2" customFormat="1" ht="19.5" customHeight="1" x14ac:dyDescent="0.25">
      <c r="A90" s="82" t="s">
        <v>82</v>
      </c>
      <c r="B90" s="82"/>
      <c r="C90" s="82"/>
      <c r="D90" s="82"/>
      <c r="E90" s="82"/>
      <c r="F90" s="82"/>
      <c r="G90" s="82"/>
      <c r="H90" s="82"/>
      <c r="I90" s="83">
        <f>'Job BOM'!L12</f>
        <v>350</v>
      </c>
      <c r="J90" s="83"/>
      <c r="K90" s="83">
        <f>I90*1.1</f>
        <v>385.00000000000006</v>
      </c>
      <c r="L90" s="83"/>
    </row>
    <row r="91" spans="1:14" s="48" customFormat="1" ht="19.5" customHeight="1" x14ac:dyDescent="0.25">
      <c r="A91" s="84" t="s">
        <v>88</v>
      </c>
      <c r="B91" s="84"/>
      <c r="C91" s="84"/>
      <c r="D91" s="84"/>
      <c r="E91" s="84"/>
      <c r="F91" s="84"/>
      <c r="G91" s="84"/>
      <c r="H91" s="84"/>
      <c r="I91" s="81"/>
      <c r="J91" s="81"/>
      <c r="K91" s="81"/>
      <c r="L91" s="81"/>
    </row>
    <row r="92" spans="1:14" s="2" customFormat="1" ht="19.5" customHeight="1" x14ac:dyDescent="0.25">
      <c r="A92" s="82" t="s">
        <v>83</v>
      </c>
      <c r="B92" s="82"/>
      <c r="C92" s="82"/>
      <c r="D92" s="82"/>
      <c r="E92" s="82"/>
      <c r="F92" s="82"/>
      <c r="G92" s="82"/>
      <c r="H92" s="82"/>
      <c r="I92" s="83">
        <f>SUM('Job BOM'!L14,'Job BOM'!L16)</f>
        <v>12499.93</v>
      </c>
      <c r="J92" s="83"/>
      <c r="K92" s="83">
        <f>I92*1.1</f>
        <v>13749.923000000001</v>
      </c>
      <c r="L92" s="83"/>
    </row>
    <row r="93" spans="1:14" s="2" customFormat="1" ht="19.5" customHeight="1" x14ac:dyDescent="0.25">
      <c r="A93" s="82" t="s">
        <v>84</v>
      </c>
      <c r="B93" s="82"/>
      <c r="C93" s="82"/>
      <c r="D93" s="82"/>
      <c r="E93" s="82"/>
      <c r="F93" s="82"/>
      <c r="G93" s="82"/>
      <c r="H93" s="82"/>
      <c r="I93" s="83">
        <f>SUM('Job BOM'!L15,'Job BOM'!L16)</f>
        <v>13609.09</v>
      </c>
      <c r="J93" s="83"/>
      <c r="K93" s="83">
        <f>I93*1.1</f>
        <v>14969.999000000002</v>
      </c>
      <c r="L93" s="83"/>
    </row>
    <row r="94" spans="1:14" s="2" customFormat="1" ht="19.5" customHeight="1" x14ac:dyDescent="0.25">
      <c r="A94" s="82" t="s">
        <v>82</v>
      </c>
      <c r="B94" s="82"/>
      <c r="C94" s="82"/>
      <c r="D94" s="82"/>
      <c r="E94" s="82"/>
      <c r="F94" s="82"/>
      <c r="G94" s="82"/>
      <c r="H94" s="82"/>
      <c r="I94" s="83">
        <f>'Job BOM'!L19</f>
        <v>380</v>
      </c>
      <c r="J94" s="83"/>
      <c r="K94" s="83">
        <f>I94*1.1</f>
        <v>418.00000000000006</v>
      </c>
      <c r="L94" s="83"/>
    </row>
    <row r="95" spans="1:14" s="49" customFormat="1" ht="19.5" customHeight="1" x14ac:dyDescent="0.25">
      <c r="A95" s="84" t="s">
        <v>89</v>
      </c>
      <c r="B95" s="84"/>
      <c r="C95" s="84"/>
      <c r="D95" s="84"/>
      <c r="E95" s="84"/>
      <c r="F95" s="84"/>
      <c r="G95" s="84"/>
      <c r="H95" s="84"/>
      <c r="I95" s="81"/>
      <c r="J95" s="81"/>
      <c r="K95" s="81"/>
      <c r="L95" s="81"/>
    </row>
    <row r="96" spans="1:14" s="2" customFormat="1" ht="19.5" customHeight="1" x14ac:dyDescent="0.25">
      <c r="A96" s="82" t="s">
        <v>85</v>
      </c>
      <c r="B96" s="82"/>
      <c r="C96" s="82"/>
      <c r="D96" s="82"/>
      <c r="E96" s="82"/>
      <c r="F96" s="82"/>
      <c r="G96" s="82"/>
      <c r="H96" s="82"/>
      <c r="I96" s="83">
        <f>SUM('Job BOM'!L22,'Job BOM'!L24)</f>
        <v>17363.64</v>
      </c>
      <c r="J96" s="83"/>
      <c r="K96" s="83">
        <f>I96*1.1</f>
        <v>19100.004000000001</v>
      </c>
      <c r="L96" s="83"/>
    </row>
    <row r="97" spans="1:12" s="2" customFormat="1" ht="19.5" customHeight="1" x14ac:dyDescent="0.25">
      <c r="A97" s="82" t="s">
        <v>86</v>
      </c>
      <c r="B97" s="82"/>
      <c r="C97" s="82"/>
      <c r="D97" s="82"/>
      <c r="E97" s="82"/>
      <c r="F97" s="82"/>
      <c r="G97" s="82"/>
      <c r="H97" s="82"/>
      <c r="I97" s="83">
        <f>SUM('Job BOM'!L23,'Job BOM'!L24)</f>
        <v>18845.46</v>
      </c>
      <c r="J97" s="83"/>
      <c r="K97" s="83">
        <f>I97*1.1</f>
        <v>20730.006000000001</v>
      </c>
      <c r="L97" s="83"/>
    </row>
    <row r="98" spans="1:12" s="2" customFormat="1" ht="19.5" customHeight="1" x14ac:dyDescent="0.25">
      <c r="A98" s="82" t="s">
        <v>82</v>
      </c>
      <c r="B98" s="82"/>
      <c r="C98" s="82"/>
      <c r="D98" s="82"/>
      <c r="E98" s="82"/>
      <c r="F98" s="82"/>
      <c r="G98" s="82"/>
      <c r="H98" s="82"/>
      <c r="I98" s="83">
        <f>'Job BOM'!L27</f>
        <v>430</v>
      </c>
      <c r="J98" s="83"/>
      <c r="K98" s="83">
        <f>I98*1.1</f>
        <v>473.00000000000006</v>
      </c>
      <c r="L98" s="83"/>
    </row>
    <row r="99" spans="1:12" s="49" customFormat="1" ht="19.5" customHeight="1" x14ac:dyDescent="0.25">
      <c r="A99" s="84" t="s">
        <v>90</v>
      </c>
      <c r="B99" s="84"/>
      <c r="C99" s="84"/>
      <c r="D99" s="84"/>
      <c r="E99" s="84"/>
      <c r="F99" s="84"/>
      <c r="G99" s="84"/>
      <c r="H99" s="84"/>
      <c r="I99" s="81"/>
      <c r="J99" s="81"/>
      <c r="K99" s="81"/>
      <c r="L99" s="81"/>
    </row>
    <row r="100" spans="1:12" s="2" customFormat="1" ht="19.5" customHeight="1" x14ac:dyDescent="0.25">
      <c r="A100" s="82" t="s">
        <v>79</v>
      </c>
      <c r="B100" s="82"/>
      <c r="C100" s="82"/>
      <c r="D100" s="82"/>
      <c r="E100" s="82"/>
      <c r="F100" s="82"/>
      <c r="G100" s="82"/>
      <c r="H100" s="82"/>
      <c r="I100" s="83">
        <f>'Job BOM'!K26</f>
        <v>380</v>
      </c>
      <c r="J100" s="83"/>
      <c r="K100" s="83">
        <f t="shared" ref="K100" si="0">I100*1.1</f>
        <v>418.00000000000006</v>
      </c>
      <c r="L100" s="83"/>
    </row>
    <row r="101" spans="1:12" s="2" customFormat="1" ht="19.5" customHeight="1" x14ac:dyDescent="0.25">
      <c r="A101" s="31"/>
      <c r="B101" s="31"/>
      <c r="C101" s="31"/>
      <c r="D101" s="31"/>
      <c r="E101" s="36"/>
      <c r="F101" s="37"/>
      <c r="G101" s="37"/>
      <c r="H101" s="36"/>
      <c r="I101" s="37"/>
      <c r="J101" s="37"/>
      <c r="K101" s="37"/>
      <c r="L101" s="37"/>
    </row>
    <row r="102" spans="1:12" s="2" customFormat="1" x14ac:dyDescent="0.25">
      <c r="A102" s="28"/>
      <c r="B102" s="28"/>
      <c r="C102" s="28"/>
      <c r="D102" s="28"/>
      <c r="E102" s="28"/>
      <c r="F102" s="38"/>
      <c r="G102" s="39"/>
      <c r="H102" s="40"/>
      <c r="I102" s="40"/>
      <c r="J102" s="40"/>
    </row>
    <row r="103" spans="1:12" s="2" customFormat="1" x14ac:dyDescent="0.25">
      <c r="A103" s="28"/>
      <c r="B103" s="28"/>
      <c r="C103" s="28"/>
      <c r="D103" s="28"/>
      <c r="E103" s="28"/>
      <c r="F103" s="28"/>
      <c r="G103" s="28"/>
      <c r="H103" s="28"/>
      <c r="I103" s="28"/>
      <c r="J103" s="28"/>
      <c r="K103" s="28"/>
      <c r="L103" s="28"/>
    </row>
    <row r="104" spans="1:12" s="2" customFormat="1" x14ac:dyDescent="0.25">
      <c r="A104" s="28"/>
      <c r="B104" s="28"/>
      <c r="C104" s="28"/>
      <c r="D104" s="28"/>
      <c r="E104" s="28"/>
      <c r="F104" s="28"/>
      <c r="G104" s="28"/>
      <c r="H104" s="28"/>
      <c r="I104" s="28"/>
      <c r="J104" s="28"/>
      <c r="K104" s="28"/>
      <c r="L104" s="28"/>
    </row>
    <row r="105" spans="1:12" s="2" customFormat="1" x14ac:dyDescent="0.25">
      <c r="A105" s="28"/>
      <c r="B105" s="28"/>
      <c r="C105" s="28"/>
      <c r="D105" s="28"/>
      <c r="E105" s="28"/>
      <c r="F105" s="28"/>
      <c r="G105" s="28"/>
      <c r="H105" s="28"/>
      <c r="I105" s="28"/>
      <c r="J105" s="28"/>
      <c r="K105" s="28"/>
      <c r="L105" s="28"/>
    </row>
    <row r="106" spans="1:12" s="2" customFormat="1" x14ac:dyDescent="0.25">
      <c r="A106" s="28"/>
      <c r="B106" s="28"/>
      <c r="C106" s="28"/>
      <c r="D106" s="28"/>
      <c r="E106" s="28"/>
      <c r="F106" s="28"/>
      <c r="G106" s="28"/>
      <c r="H106" s="28"/>
      <c r="I106" s="28"/>
      <c r="J106" s="28"/>
      <c r="K106" s="28"/>
      <c r="L106" s="28"/>
    </row>
    <row r="107" spans="1:12" s="2" customFormat="1" x14ac:dyDescent="0.25">
      <c r="A107" s="28"/>
      <c r="B107" s="28"/>
      <c r="C107" s="28"/>
      <c r="D107" s="28"/>
      <c r="E107" s="28"/>
      <c r="F107" s="28"/>
      <c r="G107" s="28"/>
      <c r="H107" s="28"/>
      <c r="I107" s="28"/>
      <c r="J107" s="28"/>
      <c r="K107" s="28"/>
      <c r="L107" s="28"/>
    </row>
    <row r="108" spans="1:12" s="2" customFormat="1" x14ac:dyDescent="0.25">
      <c r="A108" s="28"/>
      <c r="B108" s="28"/>
      <c r="C108" s="28"/>
      <c r="D108" s="28"/>
      <c r="E108" s="28"/>
      <c r="F108" s="28"/>
      <c r="G108" s="28"/>
      <c r="H108" s="28"/>
      <c r="I108" s="28"/>
      <c r="J108" s="28"/>
      <c r="K108" s="28"/>
      <c r="L108" s="28"/>
    </row>
    <row r="109" spans="1:12" s="2" customFormat="1" x14ac:dyDescent="0.25">
      <c r="A109" s="76" t="s">
        <v>30</v>
      </c>
      <c r="B109" s="76"/>
      <c r="C109" s="76"/>
      <c r="D109" s="76"/>
      <c r="E109" s="30"/>
      <c r="F109" s="30"/>
      <c r="G109" s="30"/>
      <c r="H109" s="30"/>
      <c r="I109" s="30"/>
      <c r="J109" s="30"/>
      <c r="K109" s="30"/>
      <c r="L109" s="30"/>
    </row>
    <row r="110" spans="1:12" s="2" customFormat="1" x14ac:dyDescent="0.25">
      <c r="A110" s="35"/>
      <c r="B110" s="35"/>
      <c r="C110" s="35"/>
      <c r="D110" s="35"/>
      <c r="E110" s="35"/>
      <c r="F110" s="35"/>
      <c r="G110" s="35"/>
      <c r="H110" s="35"/>
      <c r="I110" s="35"/>
      <c r="J110" s="35"/>
      <c r="K110" s="35"/>
      <c r="L110" s="35"/>
    </row>
    <row r="111" spans="1:12" s="2" customFormat="1" ht="19.5" customHeight="1" x14ac:dyDescent="0.25">
      <c r="A111" s="61" t="s">
        <v>54</v>
      </c>
      <c r="B111" s="61"/>
      <c r="C111" s="61"/>
      <c r="D111" s="61"/>
      <c r="E111" s="61"/>
      <c r="F111" s="61"/>
      <c r="G111" s="61"/>
      <c r="H111" s="61"/>
      <c r="I111" s="61"/>
      <c r="J111" s="61"/>
      <c r="K111" s="61"/>
      <c r="L111" s="61"/>
    </row>
    <row r="112" spans="1:12" s="2" customFormat="1" ht="19.5" customHeight="1" x14ac:dyDescent="0.25">
      <c r="A112" s="61" t="s">
        <v>57</v>
      </c>
      <c r="B112" s="61"/>
      <c r="C112" s="61"/>
      <c r="D112" s="61"/>
      <c r="E112" s="61"/>
      <c r="F112" s="61"/>
      <c r="G112" s="61"/>
      <c r="H112" s="61"/>
      <c r="I112" s="61"/>
      <c r="J112" s="61"/>
      <c r="K112" s="61"/>
      <c r="L112" s="61"/>
    </row>
    <row r="113" spans="1:12" s="2" customFormat="1" x14ac:dyDescent="0.25"/>
    <row r="114" spans="1:12" s="2" customFormat="1" x14ac:dyDescent="0.25">
      <c r="A114" s="2" t="s">
        <v>56</v>
      </c>
    </row>
    <row r="115" spans="1:12" s="2" customFormat="1" x14ac:dyDescent="0.25">
      <c r="A115" s="2" t="s">
        <v>32</v>
      </c>
    </row>
    <row r="116" spans="1:12" s="2" customFormat="1" x14ac:dyDescent="0.25">
      <c r="A116" s="2" t="s">
        <v>33</v>
      </c>
    </row>
    <row r="117" spans="1:12" s="2" customFormat="1" x14ac:dyDescent="0.25">
      <c r="A117" s="2" t="s">
        <v>34</v>
      </c>
    </row>
    <row r="118" spans="1:12" s="2" customFormat="1" x14ac:dyDescent="0.25"/>
    <row r="119" spans="1:12" s="2" customFormat="1" ht="20.25" customHeight="1" x14ac:dyDescent="0.25">
      <c r="A119" s="64" t="s">
        <v>55</v>
      </c>
      <c r="B119" s="64"/>
      <c r="C119" s="64"/>
      <c r="D119" s="64"/>
      <c r="E119" s="64"/>
      <c r="F119" s="64"/>
      <c r="G119" s="64"/>
      <c r="H119" s="64"/>
      <c r="I119" s="64"/>
      <c r="J119" s="64"/>
      <c r="K119" s="64"/>
      <c r="L119" s="64"/>
    </row>
    <row r="120" spans="1:12" s="2" customFormat="1" x14ac:dyDescent="0.25">
      <c r="A120" s="64"/>
      <c r="B120" s="64"/>
      <c r="C120" s="64"/>
      <c r="D120" s="64"/>
      <c r="E120" s="64"/>
      <c r="F120" s="64"/>
      <c r="G120" s="64"/>
      <c r="H120" s="64"/>
      <c r="I120" s="64"/>
      <c r="J120" s="64"/>
      <c r="K120" s="64"/>
      <c r="L120" s="64"/>
    </row>
    <row r="121" spans="1:12" s="2" customFormat="1" x14ac:dyDescent="0.25">
      <c r="A121" s="64"/>
      <c r="B121" s="64"/>
      <c r="C121" s="64"/>
      <c r="D121" s="64"/>
      <c r="E121" s="64"/>
      <c r="F121" s="64"/>
      <c r="G121" s="64"/>
      <c r="H121" s="64"/>
      <c r="I121" s="64"/>
      <c r="J121" s="64"/>
      <c r="K121" s="64"/>
      <c r="L121" s="64"/>
    </row>
    <row r="122" spans="1:12" s="2" customFormat="1" x14ac:dyDescent="0.25">
      <c r="A122" s="64"/>
      <c r="B122" s="64"/>
      <c r="C122" s="64"/>
      <c r="D122" s="64"/>
      <c r="E122" s="64"/>
      <c r="F122" s="64"/>
      <c r="G122" s="64"/>
      <c r="H122" s="64"/>
      <c r="I122" s="64"/>
      <c r="J122" s="64"/>
      <c r="K122" s="64"/>
      <c r="L122" s="64"/>
    </row>
    <row r="123" spans="1:12" s="2" customFormat="1" x14ac:dyDescent="0.25">
      <c r="A123" s="64"/>
      <c r="B123" s="64"/>
      <c r="C123" s="64"/>
      <c r="D123" s="64"/>
      <c r="E123" s="64"/>
      <c r="F123" s="64"/>
      <c r="G123" s="64"/>
      <c r="H123" s="64"/>
      <c r="I123" s="64"/>
      <c r="J123" s="64"/>
      <c r="K123" s="64"/>
      <c r="L123" s="64"/>
    </row>
    <row r="124" spans="1:12" s="2" customFormat="1" x14ac:dyDescent="0.25">
      <c r="A124" s="64"/>
      <c r="B124" s="64"/>
      <c r="C124" s="64"/>
      <c r="D124" s="64"/>
      <c r="E124" s="64"/>
      <c r="F124" s="64"/>
      <c r="G124" s="64"/>
      <c r="H124" s="64"/>
      <c r="I124" s="64"/>
      <c r="J124" s="64"/>
      <c r="K124" s="64"/>
      <c r="L124" s="64"/>
    </row>
    <row r="125" spans="1:12" s="2" customFormat="1" x14ac:dyDescent="0.25">
      <c r="A125" s="28"/>
      <c r="B125" s="28"/>
      <c r="C125" s="28"/>
      <c r="D125" s="28"/>
      <c r="E125" s="28"/>
      <c r="F125" s="28"/>
      <c r="G125" s="28"/>
      <c r="H125" s="28"/>
      <c r="I125" s="28"/>
      <c r="J125" s="28"/>
      <c r="K125" s="28"/>
      <c r="L125" s="28"/>
    </row>
    <row r="126" spans="1:12" s="2" customFormat="1" x14ac:dyDescent="0.25">
      <c r="A126" s="63" t="s">
        <v>35</v>
      </c>
      <c r="B126" s="63"/>
      <c r="C126" s="63"/>
      <c r="D126" s="63"/>
      <c r="E126" s="63"/>
      <c r="F126" s="63"/>
      <c r="G126" s="63"/>
      <c r="H126" s="63"/>
      <c r="I126" s="63"/>
      <c r="J126" s="63"/>
      <c r="K126" s="63"/>
      <c r="L126" s="63"/>
    </row>
    <row r="127" spans="1:12" s="42" customFormat="1" ht="151.5" customHeight="1" x14ac:dyDescent="0.25">
      <c r="A127" s="60" t="s">
        <v>46</v>
      </c>
      <c r="B127" s="60"/>
      <c r="C127" s="60"/>
      <c r="D127" s="60"/>
      <c r="E127" s="60"/>
      <c r="F127" s="41"/>
      <c r="G127" s="60" t="s">
        <v>47</v>
      </c>
      <c r="H127" s="60"/>
      <c r="I127" s="60"/>
      <c r="J127" s="60"/>
      <c r="K127" s="60"/>
      <c r="L127" s="60"/>
    </row>
    <row r="128" spans="1:12" s="42" customFormat="1" ht="167.25" customHeight="1" x14ac:dyDescent="0.25">
      <c r="A128" s="60" t="s">
        <v>48</v>
      </c>
      <c r="B128" s="60"/>
      <c r="C128" s="60"/>
      <c r="D128" s="60"/>
      <c r="E128" s="60"/>
      <c r="F128" s="41"/>
      <c r="G128" s="60" t="s">
        <v>49</v>
      </c>
      <c r="H128" s="60"/>
      <c r="I128" s="60"/>
      <c r="J128" s="60"/>
      <c r="K128" s="60"/>
      <c r="L128" s="60"/>
    </row>
    <row r="129" spans="1:12" s="42" customFormat="1" ht="132.75" customHeight="1" x14ac:dyDescent="0.25">
      <c r="A129" s="60" t="s">
        <v>50</v>
      </c>
      <c r="B129" s="60"/>
      <c r="C129" s="60"/>
      <c r="D129" s="60"/>
      <c r="E129" s="60"/>
      <c r="F129" s="41"/>
      <c r="G129" s="60" t="s">
        <v>51</v>
      </c>
      <c r="H129" s="60"/>
      <c r="I129" s="60"/>
      <c r="J129" s="60"/>
      <c r="K129" s="60"/>
      <c r="L129" s="60"/>
    </row>
    <row r="130" spans="1:12" s="42" customFormat="1" ht="70.5" customHeight="1" x14ac:dyDescent="0.3">
      <c r="A130" s="65" t="s">
        <v>58</v>
      </c>
      <c r="B130" s="65"/>
      <c r="C130" s="65"/>
      <c r="D130" s="65"/>
      <c r="E130" s="65"/>
      <c r="F130" s="65"/>
      <c r="G130" s="65"/>
      <c r="H130" s="65"/>
      <c r="I130" s="65"/>
      <c r="J130" s="65"/>
      <c r="K130" s="65"/>
      <c r="L130" s="65"/>
    </row>
    <row r="131" spans="1:12" s="42" customFormat="1" ht="17.25" x14ac:dyDescent="0.25">
      <c r="A131" s="62" t="s">
        <v>38</v>
      </c>
      <c r="B131" s="62"/>
      <c r="C131" s="62"/>
      <c r="D131" s="62"/>
      <c r="E131" s="62"/>
      <c r="F131" s="62"/>
      <c r="G131" s="62"/>
      <c r="H131" s="62"/>
      <c r="I131" s="62"/>
      <c r="J131" s="62"/>
      <c r="K131" s="62"/>
      <c r="L131" s="62"/>
    </row>
    <row r="132" spans="1:12" s="42" customFormat="1" ht="18" customHeight="1" x14ac:dyDescent="0.25">
      <c r="A132" s="66"/>
      <c r="B132" s="66"/>
      <c r="C132" s="66"/>
      <c r="D132" s="66"/>
      <c r="E132" s="66"/>
      <c r="F132" s="67"/>
      <c r="G132" s="67"/>
      <c r="H132" s="67"/>
      <c r="I132" s="67"/>
      <c r="J132" s="67"/>
    </row>
  </sheetData>
  <mergeCells count="77">
    <mergeCell ref="A95:H95"/>
    <mergeCell ref="I95:J95"/>
    <mergeCell ref="K95:L95"/>
    <mergeCell ref="K92:L92"/>
    <mergeCell ref="A93:H93"/>
    <mergeCell ref="I93:J93"/>
    <mergeCell ref="K93:L93"/>
    <mergeCell ref="A94:H94"/>
    <mergeCell ref="I94:J94"/>
    <mergeCell ref="K94:L94"/>
    <mergeCell ref="A109:D109"/>
    <mergeCell ref="A111:L111"/>
    <mergeCell ref="A88:H88"/>
    <mergeCell ref="I88:J88"/>
    <mergeCell ref="K88:L88"/>
    <mergeCell ref="A89:H89"/>
    <mergeCell ref="I89:J89"/>
    <mergeCell ref="K89:L89"/>
    <mergeCell ref="A90:H90"/>
    <mergeCell ref="I90:J90"/>
    <mergeCell ref="K90:L90"/>
    <mergeCell ref="A91:H91"/>
    <mergeCell ref="I91:J91"/>
    <mergeCell ref="K91:L91"/>
    <mergeCell ref="A92:H92"/>
    <mergeCell ref="I92:J92"/>
    <mergeCell ref="A100:H100"/>
    <mergeCell ref="I100:J100"/>
    <mergeCell ref="K100:L100"/>
    <mergeCell ref="A96:H96"/>
    <mergeCell ref="I96:J96"/>
    <mergeCell ref="K96:L96"/>
    <mergeCell ref="A97:H97"/>
    <mergeCell ref="I97:J97"/>
    <mergeCell ref="K97:L97"/>
    <mergeCell ref="A98:H98"/>
    <mergeCell ref="I98:J98"/>
    <mergeCell ref="K98:L98"/>
    <mergeCell ref="A99:H99"/>
    <mergeCell ref="I99:J99"/>
    <mergeCell ref="K99:L99"/>
    <mergeCell ref="A84:L84"/>
    <mergeCell ref="A86:H86"/>
    <mergeCell ref="I86:J86"/>
    <mergeCell ref="K86:L86"/>
    <mergeCell ref="A87:H87"/>
    <mergeCell ref="I87:J87"/>
    <mergeCell ref="K87:L87"/>
    <mergeCell ref="A62:F62"/>
    <mergeCell ref="G62:L62"/>
    <mergeCell ref="A12:L20"/>
    <mergeCell ref="A29:L43"/>
    <mergeCell ref="A70:L82"/>
    <mergeCell ref="A21:D21"/>
    <mergeCell ref="A68:D68"/>
    <mergeCell ref="B63:F63"/>
    <mergeCell ref="H63:L63"/>
    <mergeCell ref="B64:F64"/>
    <mergeCell ref="H64:L64"/>
    <mergeCell ref="M64:N64"/>
    <mergeCell ref="B65:F65"/>
    <mergeCell ref="H65:L65"/>
    <mergeCell ref="B66:F66"/>
    <mergeCell ref="H66:L66"/>
    <mergeCell ref="A132:E132"/>
    <mergeCell ref="F132:J132"/>
    <mergeCell ref="A128:E128"/>
    <mergeCell ref="G128:L128"/>
    <mergeCell ref="A129:E129"/>
    <mergeCell ref="G129:L129"/>
    <mergeCell ref="A127:E127"/>
    <mergeCell ref="G127:L127"/>
    <mergeCell ref="A112:L112"/>
    <mergeCell ref="A131:L131"/>
    <mergeCell ref="A126:L126"/>
    <mergeCell ref="A119:L124"/>
    <mergeCell ref="A130:L130"/>
  </mergeCells>
  <hyperlinks>
    <hyperlink ref="B66" r:id="rId1" xr:uid="{8D8DB27B-DD0F-41DF-8F20-DECC1BBFC013}"/>
  </hyperlinks>
  <pageMargins left="0.98425196850393704" right="0.98425196850393704" top="0.59055118110236215" bottom="0.59055118110236215" header="0.51181102362204722" footer="0.51181102362204722"/>
  <pageSetup paperSize="9" scale="63" fitToHeight="0" orientation="portrait" r:id="rId2"/>
  <headerFooter>
    <oddFooter>&amp;C&amp;"Helvetica Narrow,Regular"&amp;8BELKAT HOLDINGS PTY LTD  ABN 44 062 169 957 trading as COWARAMUP AGENCIES
PO Box 390 Cowaramup WA 6284   Phone: (08) 97555279   Fax: (08) 97555404
Email: cowag@cowag.com.au    www.cowag.com.au</oddFooter>
  </headerFooter>
  <rowBreaks count="2" manualBreakCount="2">
    <brk id="54" max="11" man="1"/>
    <brk id="102" max="11"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EDCF95FA36D545BB12ED0EA3B3521A" ma:contentTypeVersion="13" ma:contentTypeDescription="Create a new document." ma:contentTypeScope="" ma:versionID="f74e0f791f83cc556457ff7e14056353">
  <xsd:schema xmlns:xsd="http://www.w3.org/2001/XMLSchema" xmlns:xs="http://www.w3.org/2001/XMLSchema" xmlns:p="http://schemas.microsoft.com/office/2006/metadata/properties" xmlns:ns2="7f17e18a-f9b3-4f46-b9b2-9dd73befda30" xmlns:ns3="433c6611-a555-4bd4-8dfa-42a74e6109e0" targetNamespace="http://schemas.microsoft.com/office/2006/metadata/properties" ma:root="true" ma:fieldsID="a1a892174c3763d338d061e7c3f68a9c" ns2:_="" ns3:_="">
    <xsd:import namespace="7f17e18a-f9b3-4f46-b9b2-9dd73befda30"/>
    <xsd:import namespace="433c6611-a555-4bd4-8dfa-42a74e6109e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17e18a-f9b3-4f46-b9b2-9dd73befda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a3122ac-8169-41c9-b524-fe754a9a0365"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33c6611-a555-4bd4-8dfa-42a74e6109e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aee6ec7b-4d24-4fa9-ba56-2cc4a4bca18c}" ma:internalName="TaxCatchAll" ma:showField="CatchAllData" ma:web="433c6611-a555-4bd4-8dfa-42a74e610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33c6611-a555-4bd4-8dfa-42a74e6109e0" xsi:nil="true"/>
    <lcf76f155ced4ddcb4097134ff3c332f xmlns="7f17e18a-f9b3-4f46-b9b2-9dd73befda3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D18310B-12FF-47E1-A386-CA36F9A286D4}">
  <ds:schemaRefs>
    <ds:schemaRef ds:uri="http://schemas.microsoft.com/sharepoint/v3/contenttype/forms"/>
  </ds:schemaRefs>
</ds:datastoreItem>
</file>

<file path=customXml/itemProps2.xml><?xml version="1.0" encoding="utf-8"?>
<ds:datastoreItem xmlns:ds="http://schemas.openxmlformats.org/officeDocument/2006/customXml" ds:itemID="{DBA2D1E2-315B-4C9F-8B6B-84548A7769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17e18a-f9b3-4f46-b9b2-9dd73befda30"/>
    <ds:schemaRef ds:uri="433c6611-a555-4bd4-8dfa-42a74e610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9D71C9-42FD-4625-BC52-08719A19456A}">
  <ds:schemaRefs>
    <ds:schemaRef ds:uri="http://schemas.microsoft.com/office/2006/metadata/properties"/>
    <ds:schemaRef ds:uri="http://schemas.microsoft.com/office/infopath/2007/PartnerControls"/>
    <ds:schemaRef ds:uri="433c6611-a555-4bd4-8dfa-42a74e6109e0"/>
    <ds:schemaRef ds:uri="7f17e18a-f9b3-4f46-b9b2-9dd73befda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Job BOM</vt:lpstr>
      <vt:lpstr>Quotation</vt:lpstr>
      <vt:lpstr>Quotation!Print_Area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Melanie Turnbull</dc:creator>
  <cp:lastModifiedBy>Simon Earl</cp:lastModifiedBy>
  <cp:lastPrinted>2026-08-10T05:48:47Z</cp:lastPrinted>
  <dcterms:created xsi:type="dcterms:W3CDTF">2016-07-07T02:07:29Z</dcterms:created>
  <dcterms:modified xsi:type="dcterms:W3CDTF">2026-08-10T06:28:57Z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0x01010019EDCF95FA36D545BB12ED0EA3B3521A</vt:lpwstr>
  </property>
  <property fmtid="{D5CDD505-2E9C-101B-9397-08002B2CF9AE}" pid="3" name="MediaServiceImageTags">
    <vt:lpwstr/>
  </property>
</Properties>
</file>